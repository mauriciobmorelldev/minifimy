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4a3679f8654e0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ate de campaña" sheetId="1" r:id="R089d02847ddb4594"/>
    <x:sheet xmlns:r="http://schemas.openxmlformats.org/officeDocument/2006/relationships" name="Auditoría catálogo" sheetId="2" r:id="R68c7b7e3b22e4b7b"/>
    <x:sheet xmlns:r="http://schemas.openxmlformats.org/officeDocument/2006/relationships" name="Condiciones comerciales" sheetId="3" r:id="R8e840256ab9c468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&quot;$&quot;#,##0"/>
    <x:numFmt numFmtId="202" formatCode="0.0%"/>
  </x:numFmts>
  <x:fonts count="9">
    <x:font>
      <x:sz val="11"/>
      <x:name val="Carlito"/>
    </x:font>
    <x:font>
      <x:b/>
      <x:sz val="20"/>
      <x:color rgb="FFFFFFFF"/>
      <x:name val="Carlito"/>
    </x:font>
    <x:font>
      <x:b/>
      <x:sz val="16"/>
      <x:color rgb="FF2F2A22"/>
      <x:name val="Carlito"/>
    </x:font>
    <x:font>
      <x:b/>
      <x:sz val="11"/>
      <x:color rgb="FF2F2A22"/>
      <x:name val="Carlito"/>
    </x:font>
    <x:font>
      <x:b/>
      <x:sz val="20"/>
      <x:color rgb="FF2F2A22"/>
      <x:name val="Aptos"/>
    </x:font>
    <x:font>
      <x:b/>
      <x:sz val="18"/>
      <x:color rgb="FFFFFFFF"/>
      <x:name val="Carlito"/>
    </x:font>
    <x:font>
      <x:i/>
      <x:sz val="11"/>
      <x:color rgb="FF2F2A22"/>
      <x:name val="Carlito"/>
    </x:font>
    <x:font>
      <x:b/>
      <x:sz val="11"/>
      <x:color rgb="FFFFFFFF"/>
      <x:name val="Carlito"/>
    </x:font>
    <x:font>
      <x:b/>
      <x:sz val="18"/>
      <x:color rgb="FF2F2A22"/>
      <x:name val="Aptos"/>
    </x:font>
  </x:fonts>
  <x:fills count="7">
    <x:fill>
      <x:patternFill patternType="none"/>
    </x:fill>
    <x:fill>
      <x:patternFill patternType="gray125"/>
    </x:fill>
    <x:fill>
      <x:patternFill patternType="solid">
        <x:fgColor rgb="FF50683D"/>
      </x:patternFill>
    </x:fill>
    <x:fill>
      <x:patternFill patternType="solid">
        <x:fgColor rgb="FFF4D7CE"/>
      </x:patternFill>
    </x:fill>
    <x:fill>
      <x:patternFill patternType="solid">
        <x:fgColor rgb="FFEFE4D0"/>
      </x:patternFill>
    </x:fill>
    <x:fill>
      <x:patternFill patternType="solid">
        <x:fgColor rgb="FFF7E8B7"/>
      </x:patternFill>
    </x:fill>
    <x:fill>
      <x:patternFill patternType="solid">
        <x:fgColor rgb="FFB96D4D"/>
      </x:patternFill>
    </x:fill>
  </x:fills>
  <x:borders count="19">
    <x:border/>
    <x:border>
      <x:right style="thin">
        <x:color rgb="FFDDD2C2"/>
      </x:right>
      <x:bottom style="thin">
        <x:color rgb="FFDDD2C2"/>
      </x:bottom>
    </x:border>
    <x:border>
      <x:left style="thin">
        <x:color rgb="FFDDD2C2"/>
      </x:left>
      <x:bottom style="thin">
        <x:color rgb="FFDDD2C2"/>
      </x:bottom>
    </x:border>
    <x:border>
      <x:right style="thin">
        <x:color rgb="FFDDD2C2"/>
      </x:right>
      <x:top style="thin">
        <x:color rgb="FFDDD2C2"/>
      </x:top>
      <x:bottom style="thin">
        <x:color rgb="FFDDD2C2"/>
      </x:bottom>
    </x:border>
    <x:border>
      <x:left style="thin">
        <x:color rgb="FFDDD2C2"/>
      </x:left>
      <x:top style="thin">
        <x:color rgb="FFDDD2C2"/>
      </x:top>
      <x:bottom style="thin">
        <x:color rgb="FFDDD2C2"/>
      </x:bottom>
    </x:border>
    <x:border>
      <x:right style="thin">
        <x:color rgb="FFDDD2C2"/>
      </x:right>
      <x:top style="thin">
        <x:color rgb="FFDDD2C2"/>
      </x:top>
    </x:border>
    <x:border>
      <x:left style="thin">
        <x:color rgb="FFDDD2C2"/>
      </x:left>
      <x:top style="thin">
        <x:color rgb="FFDDD2C2"/>
      </x:top>
    </x:border>
    <x:border>
      <x:left style="thin">
        <x:color rgb="FFDDD2C2"/>
      </x:left>
      <x:right style="thin">
        <x:color rgb="FFDDD2C2"/>
      </x:right>
      <x:bottom style="thin">
        <x:color rgb="FFDDD2C2"/>
      </x:bottom>
    </x:border>
    <x:border>
      <x:left style="thin">
        <x:color rgb="FFDDD2C2"/>
      </x:left>
      <x:right style="thin">
        <x:color rgb="FFDDD2C2"/>
      </x:right>
      <x:top style="thin">
        <x:color rgb="FFDDD2C2"/>
      </x:top>
      <x:bottom style="thin">
        <x:color rgb="FFDDD2C2"/>
      </x:bottom>
    </x:border>
    <x:border>
      <x:left style="thin">
        <x:color rgb="FFDDD2C2"/>
      </x:left>
      <x:right style="thin">
        <x:color rgb="FFDDD2C2"/>
      </x:right>
      <x:top style="thin">
        <x:color rgb="FFDDD2C2"/>
      </x:top>
    </x:border>
    <x:border>
      <x:right style="thin">
        <x:color rgb="FFE1D8CB"/>
      </x:right>
      <x:bottom style="thin">
        <x:color rgb="FFE1D8CB"/>
      </x:bottom>
    </x:border>
    <x:border>
      <x:left style="thin">
        <x:color rgb="FFE1D8CB"/>
      </x:left>
      <x:right style="thin">
        <x:color rgb="FFE1D8CB"/>
      </x:right>
      <x:bottom style="thin">
        <x:color rgb="FFE1D8CB"/>
      </x:bottom>
    </x:border>
    <x:border>
      <x:left style="thin">
        <x:color rgb="FFE1D8CB"/>
      </x:left>
      <x:bottom style="thin">
        <x:color rgb="FFE1D8CB"/>
      </x:bottom>
    </x:border>
    <x:border>
      <x:right style="thin">
        <x:color rgb="FFE1D8CB"/>
      </x:right>
      <x:top style="thin">
        <x:color rgb="FFE1D8CB"/>
      </x:top>
      <x:bottom style="thin">
        <x:color rgb="FFE1D8CB"/>
      </x:bottom>
    </x:border>
    <x:border>
      <x:left style="thin">
        <x:color rgb="FFE1D8CB"/>
      </x:left>
      <x:right style="thin">
        <x:color rgb="FFE1D8CB"/>
      </x:right>
      <x:top style="thin">
        <x:color rgb="FFE1D8CB"/>
      </x:top>
      <x:bottom style="thin">
        <x:color rgb="FFE1D8CB"/>
      </x:bottom>
    </x:border>
    <x:border>
      <x:left style="thin">
        <x:color rgb="FFE1D8CB"/>
      </x:left>
      <x:top style="thin">
        <x:color rgb="FFE1D8CB"/>
      </x:top>
      <x:bottom style="thin">
        <x:color rgb="FFE1D8CB"/>
      </x:bottom>
    </x:border>
    <x:border>
      <x:right style="thin">
        <x:color rgb="FFE1D8CB"/>
      </x:right>
      <x:top style="thin">
        <x:color rgb="FFE1D8CB"/>
      </x:top>
    </x:border>
    <x:border>
      <x:left style="thin">
        <x:color rgb="FFE1D8CB"/>
      </x:left>
      <x:right style="thin">
        <x:color rgb="FFE1D8CB"/>
      </x:right>
      <x:top style="thin">
        <x:color rgb="FFE1D8CB"/>
      </x:top>
    </x:border>
    <x:border>
      <x:left style="thin">
        <x:color rgb="FFE1D8CB"/>
      </x:left>
      <x:top style="thin">
        <x:color rgb="FFE1D8CB"/>
      </x:top>
    </x:border>
  </x:borders>
  <x:cellStyleXfs count="1">
    <x:xf numFmtId="0" fontId="0" fillId="0" borderId="0"/>
  </x:cellStyleXfs>
  <x:cellXfs count="6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2" fillId="3" borderId="5" xfId="0" applyNumberFormat="1" applyFont="1" applyFill="1" applyBorder="1"/>
    <x:xf numFmtId="0" fontId="2" fillId="3" borderId="6" xfId="0" applyNumberFormat="1" applyFont="1" applyFill="1" applyBorder="1"/>
    <x:xf numFmtId="0" fontId="3" fillId="4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5" xfId="0" applyNumberFormat="1" applyFont="1" applyFill="1" applyBorder="1"/>
    <x:xf numFmtId="0" fontId="0" fillId="0" borderId="9" xfId="0" applyNumberFormat="1" applyFont="1" applyFill="1" applyBorder="1"/>
    <x:xf numFmtId="0" fontId="0" fillId="0" borderId="6" xfId="0" applyNumberFormat="1" applyFont="1" applyFill="1" applyBorder="1"/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200" fontId="0" fillId="0" borderId="8" xfId="0" applyNumberFormat="1" applyFont="1" applyFill="1" applyBorder="1"/>
    <x:xf numFmtId="200" fontId="0" fillId="0" borderId="9" xfId="0" applyNumberFormat="1" applyFont="1" applyFill="1" applyBorder="1"/>
    <x:xf numFmtId="0" fontId="4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/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7" fillId="6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7" fillId="6" borderId="10" xfId="0" applyNumberFormat="1" applyFont="1" applyFill="1" applyBorder="1" applyAlignment="1">
      <x:alignment wrapText="1"/>
    </x:xf>
    <x:xf numFmtId="0" fontId="7" fillId="6" borderId="11" xfId="0" applyNumberFormat="1" applyFont="1" applyFill="1" applyBorder="1" applyAlignment="1">
      <x:alignment wrapText="1"/>
    </x:xf>
    <x:xf numFmtId="0" fontId="7" fillId="6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201" fontId="0" fillId="0" borderId="14" xfId="0" applyNumberFormat="1" applyFont="1" applyFill="1" applyBorder="1"/>
    <x:xf numFmtId="202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201" fontId="0" fillId="0" borderId="17" xfId="0" applyNumberFormat="1" applyFont="1" applyFill="1" applyBorder="1"/>
    <x:xf numFmtId="202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3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201" fontId="0" fillId="0" borderId="14" xfId="0" applyNumberFormat="1" applyFont="1" applyFill="1" applyBorder="1" applyAlignment="1">
      <x:alignment wrapText="1"/>
    </x:xf>
    <x:xf numFmtId="202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201" fontId="0" fillId="0" borderId="17" xfId="0" applyNumberFormat="1" applyFont="1" applyFill="1" applyBorder="1" applyAlignment="1">
      <x:alignment wrapText="1"/>
    </x:xf>
    <x:xf numFmtId="202" fontId="0" fillId="0" borderId="17" xfId="0" applyNumberFormat="1" applyFont="1" applyFill="1" applyBorder="1" applyAlignment="1">
      <x:alignment wrapText="1"/>
    </x:xf>
    <x:xf numFmtId="0" fontId="0" fillId="0" borderId="18" xfId="0" applyNumberFormat="1" applyFont="1" applyFill="1" applyBorder="1" applyAlignment="1">
      <x:alignment wrapText="1"/>
    </x:xf>
    <x:xf numFmtId="0" fontId="8" fillId="2" borderId="0" xfId="0" applyNumberFormat="1" applyFont="1" applyFill="1" applyBorder="1"/>
    <x:xf numFmtId="200" fontId="0" fillId="0" borderId="0" xfId="0" applyNumberFormat="1" applyFont="1" applyFill="1" applyBorder="1"/>
    <x:xf numFmtId="200" fontId="0" fillId="0" borderId="14" xfId="0" applyNumberFormat="1" applyFont="1" applyFill="1" applyBorder="1"/>
    <x:xf numFmtId="200" fontId="0" fillId="0" borderId="17" xfId="0" applyNumberFormat="1" applyFont="1" applyFill="1" applyBorder="1"/>
    <x:xf numFmtId="200" fontId="0" fillId="0" borderId="14" xfId="0" applyNumberFormat="1" applyFont="1" applyFill="1" applyBorder="1" applyAlignment="1">
      <x:alignment wrapText="1"/>
    </x:xf>
    <x:xf numFmtId="200" fontId="0" fillId="0" borderId="17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96a380ee3e34127" /><Relationship Type="http://schemas.openxmlformats.org/officeDocument/2006/relationships/theme" Target="/xl/theme/theme1.xml" Id="Rc256da3497d24355" /><Relationship Type="http://schemas.openxmlformats.org/officeDocument/2006/relationships/sharedStrings" Target="/xl/sharedStrings.xml" Id="R03c5ed05b9f2419e" /><Relationship Type="http://schemas.openxmlformats.org/officeDocument/2006/relationships/worksheet" Target="/xl/worksheets/sheet1.xml" Id="R089d02847ddb4594" /><Relationship Type="http://schemas.openxmlformats.org/officeDocument/2006/relationships/worksheet" Target="/xl/worksheets/sheet2.xml" Id="R68c7b7e3b22e4b7b" /><Relationship Type="http://schemas.openxmlformats.org/officeDocument/2006/relationships/worksheet" Target="/xl/worksheets/sheet3.xml" Id="R8e840256ab9c468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6" hidden="0" customWidth="1"/>
    <x:col min="3" max="3" width="3" hidden="0" customWidth="1"/>
    <x:col min="4" max="4" width="31" hidden="0" customWidth="1"/>
    <x:col min="5" max="5" width="18" hidden="0" customWidth="1"/>
    <x:col min="6" max="6" width="34" hidden="0" customWidth="1"/>
    <x:col min="7" max="7" width="14" hidden="0" customWidth="1"/>
    <x:col min="8" max="8" width="15" hidden="0" customWidth="1"/>
  </x:cols>
  <x:sheetData>
    <x:row r="1" ht="38" customHeight="1">
      <x:c r="A1" s="23" t="str">
        <x:v>Gate de campaña MiniFimy</x:v>
      </x:c>
      <x:c r="B1" s="23"/>
      <x:c r="C1" s="23"/>
      <x:c r="D1" s="23"/>
      <x:c r="E1" s="23"/>
      <x:c r="F1" s="23"/>
      <x:c r="G1" s="23"/>
      <x:c r="H1" s="23"/>
    </x:row>
    <x:row r="3">
      <x:c r="A3" s="8" t="str">
        <x:v>Estado</x:v>
      </x:c>
      <x:c r="B3" s="9" t="str">
        <x:v>Resultado</x:v>
      </x:c>
      <x:c r="D3" s="8" t="str">
        <x:v>Gate operativo</x:v>
      </x:c>
      <x:c r="E3" s="14" t="str">
        <x:v>Responsable</x:v>
      </x:c>
      <x:c r="F3" s="14" t="str">
        <x:v>Evidencia</x:v>
      </x:c>
      <x:c r="G3" s="14" t="str">
        <x:v>Fecha</x:v>
      </x:c>
      <x:c r="H3" s="9" t="str">
        <x:v>Estado</x:v>
      </x:c>
    </x:row>
    <x:row r="4">
      <x:c r="A4" s="10" t="str">
        <x:v>Productos aprobados</x:v>
      </x:c>
      <x:c r="B4" s="11" t="n">
        <x:f>COUNTIF('Auditoría catálogo'!$Q$5:$Q$49,"Aprobado")</x:f>
        <x:v>0</x:v>
      </x:c>
      <x:c r="D4" s="10"/>
      <x:c r="E4" s="15"/>
      <x:c r="F4" s="15"/>
      <x:c r="G4" s="15"/>
      <x:c r="H4" s="11"/>
    </x:row>
    <x:row r="5">
      <x:c r="A5" s="10" t="str">
        <x:v>Total productos</x:v>
      </x:c>
      <x:c r="B5" s="11" t="n">
        <x:v>45</x:v>
      </x:c>
      <x:c r="D5" s="10" t="str">
        <x:v>Footer y páginas informativas</x:v>
      </x:c>
      <x:c r="E5" s="15" t="str">
        <x:v>Desarrollo</x:v>
      </x:c>
      <x:c r="F5" s="19" t="str">
        <x:v>Rutas y enlaces verificados</x:v>
      </x:c>
      <x:c r="G5" s="21" t="n">
        <x:v>46232</x:v>
      </x:c>
      <x:c r="H5" s="11" t="str">
        <x:v>Aprobado</x:v>
      </x:c>
    </x:row>
    <x:row r="6">
      <x:c r="A6" s="10" t="str">
        <x:v>Catálogo completo</x:v>
      </x:c>
      <x:c r="B6" s="11" t="str">
        <x:f>IF(B4=B5,"Sí","No")</x:f>
        <x:v>No</x:v>
      </x:c>
      <x:c r="D6" s="10" t="str">
        <x:v>Productos de anuncios auditados</x:v>
      </x:c>
      <x:c r="E6" s="15" t="str"/>
      <x:c r="F6" s="19" t="str"/>
      <x:c r="G6" s="21"/>
      <x:c r="H6" s="11" t="str">
        <x:v>Pendiente</x:v>
      </x:c>
    </x:row>
    <x:row r="7">
      <x:c r="A7" s="10" t="str"/>
      <x:c r="B7" s="11" t="str"/>
      <x:c r="D7" s="10" t="str">
        <x:v>Filtros sin duplicados críticos</x:v>
      </x:c>
      <x:c r="E7" s="15" t="str">
        <x:v>Desarrollo</x:v>
      </x:c>
      <x:c r="F7" s="19" t="str">
        <x:v>Normalización defensiva implementada</x:v>
      </x:c>
      <x:c r="G7" s="21" t="n">
        <x:v>46232</x:v>
      </x:c>
      <x:c r="H7" s="11" t="str">
        <x:v>Aprobado</x:v>
      </x:c>
    </x:row>
    <x:row r="8">
      <x:c r="A8" s="10" t="str">
        <x:v>Gates operativos completos</x:v>
      </x:c>
      <x:c r="B8" s="11" t="n">
        <x:f>COUNTIF('Gate de campaña'!$H$5:$H$11,"Aprobado")</x:f>
        <x:v>2</x:v>
      </x:c>
      <x:c r="D8" s="10" t="str">
        <x:v>Compra móvil real completada</x:v>
      </x:c>
      <x:c r="E8" s="15" t="str"/>
      <x:c r="F8" s="19" t="str"/>
      <x:c r="G8" s="21"/>
      <x:c r="H8" s="11" t="str">
        <x:v>Pendiente</x:v>
      </x:c>
    </x:row>
    <x:row r="9">
      <x:c r="A9" s="10" t="str">
        <x:v>Total gates operativos</x:v>
      </x:c>
      <x:c r="B9" s="11" t="n">
        <x:v>7</x:v>
      </x:c>
      <x:c r="D9" s="10" t="str">
        <x:v>Emails y orden en Woo verificados</x:v>
      </x:c>
      <x:c r="E9" s="15" t="str"/>
      <x:c r="F9" s="19" t="str"/>
      <x:c r="G9" s="21"/>
      <x:c r="H9" s="11" t="str">
        <x:v>Pendiente</x:v>
      </x:c>
    </x:row>
    <x:row r="10">
      <x:c r="A10" s="10" t="str">
        <x:v>Operación completa</x:v>
      </x:c>
      <x:c r="B10" s="11" t="str">
        <x:f>IF(B8=B9,"Sí","No")</x:f>
        <x:v>No</x:v>
      </x:c>
      <x:c r="D10" s="10" t="str">
        <x:v>Orden cancelada o reintegrada</x:v>
      </x:c>
      <x:c r="E10" s="15" t="str"/>
      <x:c r="F10" s="19" t="str"/>
      <x:c r="G10" s="21"/>
      <x:c r="H10" s="11" t="str">
        <x:v>Pendiente</x:v>
      </x:c>
    </x:row>
    <x:row r="11">
      <x:c r="A11" s="10" t="str"/>
      <x:c r="B11" s="11" t="str"/>
      <x:c r="D11" s="16" t="str">
        <x:v>QA visual y build aprobados</x:v>
      </x:c>
      <x:c r="E11" s="17" t="str"/>
      <x:c r="F11" s="20" t="str"/>
      <x:c r="G11" s="22"/>
      <x:c r="H11" s="18" t="str">
        <x:v>Pendiente</x:v>
      </x:c>
    </x:row>
    <x:row r="12">
      <x:c r="A12" s="10" t="str">
        <x:v>Condiciones aprobadas</x:v>
      </x:c>
      <x:c r="B12" s="11" t="n">
        <x:f>COUNTIF('Condiciones comerciales'!$F$5:$F$7,"Aprobado")</x:f>
        <x:v>0</x:v>
      </x:c>
    </x:row>
    <x:row r="13">
      <x:c r="A13" s="10" t="str">
        <x:v>Total condiciones</x:v>
      </x:c>
      <x:c r="B13" s="11" t="n">
        <x:v>3</x:v>
      </x:c>
    </x:row>
    <x:row r="14">
      <x:c r="A14" s="10"/>
      <x:c r="B14" s="11"/>
    </x:row>
    <x:row r="15">
      <x:c r="A15" s="12" t="str">
        <x:v>DECISIÓN</x:v>
      </x:c>
      <x:c r="B15" s="13" t="str">
        <x:f>IF(AND(B6="Sí",B10="Sí",B12=B13),"GO","NO-GO")</x:f>
        <x:v>NO-GO</x:v>
      </x:c>
    </x:row>
  </x:sheetData>
  <x:mergeCells>
    <x:mergeCell ref="A1:H1"/>
  </x:mergeCells>
  <x:dataValidations count="1">
    <x:dataValidation type="list" sqref="H5:H11">
      <x:formula1>"Pendiente,En revisión,Aprobado,Bloqueado"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8" hidden="0" customWidth="1"/>
    <x:col min="3" max="3" width="14" hidden="0" customWidth="1"/>
    <x:col min="4" max="4" width="12" hidden="0" customWidth="1"/>
    <x:col min="5" max="5" width="13" hidden="0" customWidth="1"/>
    <x:col min="6" max="6" width="18" hidden="0" customWidth="1"/>
    <x:col min="7" max="7" width="13" hidden="0" customWidth="1"/>
    <x:col min="8" max="8" width="30" hidden="0" customWidth="1"/>
    <x:col min="9" max="9" width="18" hidden="0" customWidth="1"/>
    <x:col min="10" max="10" width="18" hidden="0" customWidth="1"/>
    <x:col min="11" max="11" width="18" hidden="0" customWidth="1"/>
    <x:col min="12" max="12" width="13" hidden="0" customWidth="1"/>
    <x:col min="13" max="13" width="15" hidden="0" customWidth="1"/>
    <x:col min="14" max="14" width="15" hidden="0" customWidth="1"/>
    <x:col min="15" max="15" width="13" hidden="0" customWidth="1"/>
    <x:col min="16" max="16" width="18" hidden="0" customWidth="1"/>
    <x:col min="17" max="17" width="15" hidden="0" customWidth="1"/>
  </x:cols>
  <x:sheetData>
    <x:row r="1" ht="36" customHeight="1">
      <x:c r="A1" s="56" t="str">
        <x:v>Auditoría integral del catálogo — 45 productos</x:v>
      </x:c>
      <x:c r="B1" s="56"/>
      <x:c r="C1" s="56"/>
      <x:c r="D1" s="56"/>
      <x:c r="E1" s="56"/>
      <x:c r="F1" s="56"/>
      <x:c r="G1" s="56"/>
      <x:c r="H1" s="56"/>
      <x:c r="I1" s="56"/>
      <x:c r="J1" s="56"/>
      <x:c r="K1" s="56"/>
      <x:c r="L1" s="56"/>
      <x:c r="M1" s="56"/>
      <x:c r="N1" s="56"/>
      <x:c r="O1" s="56"/>
      <x:c r="P1" s="56"/>
      <x:c r="Q1" s="56"/>
    </x:row>
    <x:row r="2">
      <x:c r="A2" s="27" t="str">
        <x:v>Fuente de verdad: WooCommerce. Completar primero los productos de anuncios; no aprobar una fila sin revisar cada columna.</x:v>
      </x:c>
      <x:c r="B2" s="27"/>
      <x:c r="C2" s="27"/>
      <x:c r="D2" s="27"/>
      <x:c r="E2" s="27"/>
      <x:c r="F2" s="27"/>
      <x:c r="G2" s="27"/>
      <x:c r="H2" s="27"/>
      <x:c r="I2" s="27"/>
      <x:c r="J2" s="27"/>
      <x:c r="K2" s="27"/>
      <x:c r="L2" s="27"/>
      <x:c r="M2" s="27"/>
      <x:c r="N2" s="27"/>
      <x:c r="O2" s="27"/>
      <x:c r="P2" s="27"/>
      <x:c r="Q2" s="27"/>
    </x:row>
    <x:row r="4">
      <x:c r="A4" s="33" t="str">
        <x:v>Prioridad</x:v>
      </x:c>
      <x:c r="B4" s="34" t="str">
        <x:v>Producto</x:v>
      </x:c>
      <x:c r="C4" s="34" t="str">
        <x:v>SKU</x:v>
      </x:c>
      <x:c r="D4" s="34" t="str">
        <x:v>En anuncios</x:v>
      </x:c>
      <x:c r="E4" s="34" t="str">
        <x:v>Nombre</x:v>
      </x:c>
      <x:c r="F4" s="34" t="str">
        <x:v>Categoría</x:v>
      </x:c>
      <x:c r="G4" s="34" t="str">
        <x:v>Fotos</x:v>
      </x:c>
      <x:c r="H4" s="34" t="str">
        <x:v>Descripción</x:v>
      </x:c>
      <x:c r="I4" s="34" t="str">
        <x:v>Material</x:v>
      </x:c>
      <x:c r="J4" s="34" t="str">
        <x:v>Talles</x:v>
      </x:c>
      <x:c r="K4" s="34" t="str">
        <x:v>Colores</x:v>
      </x:c>
      <x:c r="L4" s="34" t="str">
        <x:v>Stock</x:v>
      </x:c>
      <x:c r="M4" s="34" t="str">
        <x:v>Precio lista</x:v>
      </x:c>
      <x:c r="N4" s="34" t="str">
        <x:v>Transferencia</x:v>
      </x:c>
      <x:c r="O4" s="34" t="str">
        <x:v>Descuento %</x:v>
      </x:c>
      <x:c r="P4" s="34" t="str">
        <x:v>Responsable</x:v>
      </x:c>
      <x:c r="Q4" s="35" t="str">
        <x:v>Estado</x:v>
      </x:c>
    </x:row>
    <x:row r="5">
      <x:c r="A5" s="46" t="str">
        <x:v>P0</x:v>
      </x:c>
      <x:c r="B5" s="47" t="str">
        <x:v>Camiseta Reggi Volados</x:v>
      </x:c>
      <x:c r="C5" s="47" t="str"/>
      <x:c r="D5" s="47" t="str">
        <x:v>Sí</x:v>
      </x:c>
      <x:c r="E5" s="47" t="str">
        <x:v>Pendiente</x:v>
      </x:c>
      <x:c r="F5" s="47" t="str">
        <x:v>Pendiente</x:v>
      </x:c>
      <x:c r="G5" s="47" t="str">
        <x:v>Pendiente</x:v>
      </x:c>
      <x:c r="H5" s="47" t="str">
        <x:v>Corregir: hoy describe un body</x:v>
      </x:c>
      <x:c r="I5" s="47" t="str">
        <x:v>Pendiente</x:v>
      </x:c>
      <x:c r="J5" s="47" t="str">
        <x:v>Pendiente</x:v>
      </x:c>
      <x:c r="K5" s="47" t="str">
        <x:v>Pendiente</x:v>
      </x:c>
      <x:c r="L5" s="47" t="str">
        <x:v>Pendiente</x:v>
      </x:c>
      <x:c r="M5" s="48"/>
      <x:c r="N5" s="48"/>
      <x:c r="O5" s="49" t="str">
        <x:f>IF(OR(M5="",N5="",M5=0),"",(M5-N5)/M5)</x:f>
      </x:c>
      <x:c r="P5" s="47" t="str"/>
      <x:c r="Q5" s="50" t="str">
        <x:v>Bloqueado</x:v>
      </x:c>
    </x:row>
    <x:row r="6">
      <x:c r="A6" s="46" t="str">
        <x:v>P0</x:v>
      </x:c>
      <x:c r="B6" s="47" t="str">
        <x:v>Babucha Bati frisada</x:v>
      </x:c>
      <x:c r="C6" s="47" t="str"/>
      <x:c r="D6" s="47" t="str">
        <x:v>A confirmar</x:v>
      </x:c>
      <x:c r="E6" s="47" t="str">
        <x:v>Pendiente</x:v>
      </x:c>
      <x:c r="F6" s="47" t="str">
        <x:v>Corregir: no Buzos</x:v>
      </x:c>
      <x:c r="G6" s="47" t="str">
        <x:v>Pendiente</x:v>
      </x:c>
      <x:c r="H6" s="47" t="str">
        <x:v>Pendiente</x:v>
      </x:c>
      <x:c r="I6" s="47" t="str">
        <x:v>Pendiente</x:v>
      </x:c>
      <x:c r="J6" s="47" t="str">
        <x:v>Pendiente</x:v>
      </x:c>
      <x:c r="K6" s="47" t="str">
        <x:v>Pendiente</x:v>
      </x:c>
      <x:c r="L6" s="47" t="str">
        <x:v>Pendiente</x:v>
      </x:c>
      <x:c r="M6" s="48"/>
      <x:c r="N6" s="48"/>
      <x:c r="O6" s="49" t="str">
        <x:f>IF(OR(M6="",N6="",M6=0),"",(M6-N6)/M6)</x:f>
      </x:c>
      <x:c r="P6" s="47" t="str"/>
      <x:c r="Q6" s="50" t="str">
        <x:v>Bloqueado</x:v>
      </x:c>
    </x:row>
    <x:row r="7">
      <x:c r="A7" s="46" t="str">
        <x:v>P1</x:v>
      </x:c>
      <x:c r="B7" s="47" t="str">
        <x:v>Importar producto 03 desde Woo</x:v>
      </x:c>
      <x:c r="C7" s="47" t="str"/>
      <x:c r="D7" s="47" t="str">
        <x:v>No</x:v>
      </x:c>
      <x:c r="E7" s="47" t="str">
        <x:v>Pendiente</x:v>
      </x:c>
      <x:c r="F7" s="47" t="str">
        <x:v>Pendiente</x:v>
      </x:c>
      <x:c r="G7" s="47" t="str">
        <x:v>Pendiente</x:v>
      </x:c>
      <x:c r="H7" s="47" t="str">
        <x:v>Pendiente</x:v>
      </x:c>
      <x:c r="I7" s="47" t="str">
        <x:v>Pendiente</x:v>
      </x:c>
      <x:c r="J7" s="47" t="str">
        <x:v>Pendiente</x:v>
      </x:c>
      <x:c r="K7" s="47" t="str">
        <x:v>Pendiente</x:v>
      </x:c>
      <x:c r="L7" s="47" t="str">
        <x:v>Pendiente</x:v>
      </x:c>
      <x:c r="M7" s="48"/>
      <x:c r="N7" s="48"/>
      <x:c r="O7" s="49" t="str">
        <x:f>IF(OR(M7="",N7="",M7=0),"",(M7-N7)/M7)</x:f>
      </x:c>
      <x:c r="P7" s="47" t="str"/>
      <x:c r="Q7" s="50" t="str">
        <x:v>Pendiente</x:v>
      </x:c>
    </x:row>
    <x:row r="8">
      <x:c r="A8" s="46" t="str">
        <x:v>P1</x:v>
      </x:c>
      <x:c r="B8" s="47" t="str">
        <x:v>Importar producto 04 desde Woo</x:v>
      </x:c>
      <x:c r="C8" s="47" t="str"/>
      <x:c r="D8" s="47" t="str">
        <x:v>No</x:v>
      </x:c>
      <x:c r="E8" s="47" t="str">
        <x:v>Pendiente</x:v>
      </x:c>
      <x:c r="F8" s="47" t="str">
        <x:v>Pendiente</x:v>
      </x:c>
      <x:c r="G8" s="47" t="str">
        <x:v>Pendiente</x:v>
      </x:c>
      <x:c r="H8" s="47" t="str">
        <x:v>Pendiente</x:v>
      </x:c>
      <x:c r="I8" s="47" t="str">
        <x:v>Pendiente</x:v>
      </x:c>
      <x:c r="J8" s="47" t="str">
        <x:v>Pendiente</x:v>
      </x:c>
      <x:c r="K8" s="47" t="str">
        <x:v>Pendiente</x:v>
      </x:c>
      <x:c r="L8" s="47" t="str">
        <x:v>Pendiente</x:v>
      </x:c>
      <x:c r="M8" s="48"/>
      <x:c r="N8" s="48"/>
      <x:c r="O8" s="49" t="str">
        <x:f>IF(OR(M8="",N8="",M8=0),"",(M8-N8)/M8)</x:f>
      </x:c>
      <x:c r="P8" s="47" t="str"/>
      <x:c r="Q8" s="50" t="str">
        <x:v>Pendiente</x:v>
      </x:c>
    </x:row>
    <x:row r="9">
      <x:c r="A9" s="46" t="str">
        <x:v>P1</x:v>
      </x:c>
      <x:c r="B9" s="47" t="str">
        <x:v>Importar producto 05 desde Woo</x:v>
      </x:c>
      <x:c r="C9" s="47" t="str"/>
      <x:c r="D9" s="47" t="str">
        <x:v>No</x:v>
      </x:c>
      <x:c r="E9" s="47" t="str">
        <x:v>Pendiente</x:v>
      </x:c>
      <x:c r="F9" s="47" t="str">
        <x:v>Pendiente</x:v>
      </x:c>
      <x:c r="G9" s="47" t="str">
        <x:v>Pendiente</x:v>
      </x:c>
      <x:c r="H9" s="47" t="str">
        <x:v>Pendiente</x:v>
      </x:c>
      <x:c r="I9" s="47" t="str">
        <x:v>Pendiente</x:v>
      </x:c>
      <x:c r="J9" s="47" t="str">
        <x:v>Pendiente</x:v>
      </x:c>
      <x:c r="K9" s="47" t="str">
        <x:v>Pendiente</x:v>
      </x:c>
      <x:c r="L9" s="47" t="str">
        <x:v>Pendiente</x:v>
      </x:c>
      <x:c r="M9" s="48"/>
      <x:c r="N9" s="48"/>
      <x:c r="O9" s="49" t="str">
        <x:f>IF(OR(M9="",N9="",M9=0),"",(M9-N9)/M9)</x:f>
      </x:c>
      <x:c r="P9" s="47" t="str"/>
      <x:c r="Q9" s="50" t="str">
        <x:v>Pendiente</x:v>
      </x:c>
    </x:row>
    <x:row r="10">
      <x:c r="A10" s="46" t="str">
        <x:v>P1</x:v>
      </x:c>
      <x:c r="B10" s="47" t="str">
        <x:v>Importar producto 06 desde Woo</x:v>
      </x:c>
      <x:c r="C10" s="47" t="str"/>
      <x:c r="D10" s="47" t="str">
        <x:v>No</x:v>
      </x:c>
      <x:c r="E10" s="47" t="str">
        <x:v>Pendiente</x:v>
      </x:c>
      <x:c r="F10" s="47" t="str">
        <x:v>Pendiente</x:v>
      </x:c>
      <x:c r="G10" s="47" t="str">
        <x:v>Pendiente</x:v>
      </x:c>
      <x:c r="H10" s="47" t="str">
        <x:v>Pendiente</x:v>
      </x:c>
      <x:c r="I10" s="47" t="str">
        <x:v>Pendiente</x:v>
      </x:c>
      <x:c r="J10" s="47" t="str">
        <x:v>Pendiente</x:v>
      </x:c>
      <x:c r="K10" s="47" t="str">
        <x:v>Pendiente</x:v>
      </x:c>
      <x:c r="L10" s="47" t="str">
        <x:v>Pendiente</x:v>
      </x:c>
      <x:c r="M10" s="48"/>
      <x:c r="N10" s="48"/>
      <x:c r="O10" s="49" t="str">
        <x:f>IF(OR(M10="",N10="",M10=0),"",(M10-N10)/M10)</x:f>
      </x:c>
      <x:c r="P10" s="47" t="str"/>
      <x:c r="Q10" s="50" t="str">
        <x:v>Pendiente</x:v>
      </x:c>
    </x:row>
    <x:row r="11">
      <x:c r="A11" s="46" t="str">
        <x:v>P1</x:v>
      </x:c>
      <x:c r="B11" s="47" t="str">
        <x:v>Importar producto 07 desde Woo</x:v>
      </x:c>
      <x:c r="C11" s="47" t="str"/>
      <x:c r="D11" s="47" t="str">
        <x:v>No</x:v>
      </x:c>
      <x:c r="E11" s="47" t="str">
        <x:v>Pendiente</x:v>
      </x:c>
      <x:c r="F11" s="47" t="str">
        <x:v>Pendiente</x:v>
      </x:c>
      <x:c r="G11" s="47" t="str">
        <x:v>Pendiente</x:v>
      </x:c>
      <x:c r="H11" s="47" t="str">
        <x:v>Pendiente</x:v>
      </x:c>
      <x:c r="I11" s="47" t="str">
        <x:v>Pendiente</x:v>
      </x:c>
      <x:c r="J11" s="47" t="str">
        <x:v>Pendiente</x:v>
      </x:c>
      <x:c r="K11" s="47" t="str">
        <x:v>Pendiente</x:v>
      </x:c>
      <x:c r="L11" s="47" t="str">
        <x:v>Pendiente</x:v>
      </x:c>
      <x:c r="M11" s="48"/>
      <x:c r="N11" s="48"/>
      <x:c r="O11" s="49" t="str">
        <x:f>IF(OR(M11="",N11="",M11=0),"",(M11-N11)/M11)</x:f>
      </x:c>
      <x:c r="P11" s="47" t="str"/>
      <x:c r="Q11" s="50" t="str">
        <x:v>Pendiente</x:v>
      </x:c>
    </x:row>
    <x:row r="12">
      <x:c r="A12" s="46" t="str">
        <x:v>P1</x:v>
      </x:c>
      <x:c r="B12" s="47" t="str">
        <x:v>Importar producto 08 desde Woo</x:v>
      </x:c>
      <x:c r="C12" s="47" t="str"/>
      <x:c r="D12" s="47" t="str">
        <x:v>No</x:v>
      </x:c>
      <x:c r="E12" s="47" t="str">
        <x:v>Pendiente</x:v>
      </x:c>
      <x:c r="F12" s="47" t="str">
        <x:v>Pendiente</x:v>
      </x:c>
      <x:c r="G12" s="47" t="str">
        <x:v>Pendiente</x:v>
      </x:c>
      <x:c r="H12" s="47" t="str">
        <x:v>Pendiente</x:v>
      </x:c>
      <x:c r="I12" s="47" t="str">
        <x:v>Pendiente</x:v>
      </x:c>
      <x:c r="J12" s="47" t="str">
        <x:v>Pendiente</x:v>
      </x:c>
      <x:c r="K12" s="47" t="str">
        <x:v>Pendiente</x:v>
      </x:c>
      <x:c r="L12" s="47" t="str">
        <x:v>Pendiente</x:v>
      </x:c>
      <x:c r="M12" s="48"/>
      <x:c r="N12" s="48"/>
      <x:c r="O12" s="49" t="str">
        <x:f>IF(OR(M12="",N12="",M12=0),"",(M12-N12)/M12)</x:f>
      </x:c>
      <x:c r="P12" s="47" t="str"/>
      <x:c r="Q12" s="50" t="str">
        <x:v>Pendiente</x:v>
      </x:c>
    </x:row>
    <x:row r="13">
      <x:c r="A13" s="46" t="str">
        <x:v>P1</x:v>
      </x:c>
      <x:c r="B13" s="47" t="str">
        <x:v>Importar producto 09 desde Woo</x:v>
      </x:c>
      <x:c r="C13" s="47" t="str"/>
      <x:c r="D13" s="47" t="str">
        <x:v>No</x:v>
      </x:c>
      <x:c r="E13" s="47" t="str">
        <x:v>Pendiente</x:v>
      </x:c>
      <x:c r="F13" s="47" t="str">
        <x:v>Pendiente</x:v>
      </x:c>
      <x:c r="G13" s="47" t="str">
        <x:v>Pendiente</x:v>
      </x:c>
      <x:c r="H13" s="47" t="str">
        <x:v>Pendiente</x:v>
      </x:c>
      <x:c r="I13" s="47" t="str">
        <x:v>Pendiente</x:v>
      </x:c>
      <x:c r="J13" s="47" t="str">
        <x:v>Pendiente</x:v>
      </x:c>
      <x:c r="K13" s="47" t="str">
        <x:v>Pendiente</x:v>
      </x:c>
      <x:c r="L13" s="47" t="str">
        <x:v>Pendiente</x:v>
      </x:c>
      <x:c r="M13" s="48"/>
      <x:c r="N13" s="48"/>
      <x:c r="O13" s="49" t="str">
        <x:f>IF(OR(M13="",N13="",M13=0),"",(M13-N13)/M13)</x:f>
      </x:c>
      <x:c r="P13" s="47" t="str"/>
      <x:c r="Q13" s="50" t="str">
        <x:v>Pendiente</x:v>
      </x:c>
    </x:row>
    <x:row r="14">
      <x:c r="A14" s="46" t="str">
        <x:v>P1</x:v>
      </x:c>
      <x:c r="B14" s="47" t="str">
        <x:v>Importar producto 10 desde Woo</x:v>
      </x:c>
      <x:c r="C14" s="47" t="str"/>
      <x:c r="D14" s="47" t="str">
        <x:v>No</x:v>
      </x:c>
      <x:c r="E14" s="47" t="str">
        <x:v>Pendiente</x:v>
      </x:c>
      <x:c r="F14" s="47" t="str">
        <x:v>Pendiente</x:v>
      </x:c>
      <x:c r="G14" s="47" t="str">
        <x:v>Pendiente</x:v>
      </x:c>
      <x:c r="H14" s="47" t="str">
        <x:v>Pendiente</x:v>
      </x:c>
      <x:c r="I14" s="47" t="str">
        <x:v>Pendiente</x:v>
      </x:c>
      <x:c r="J14" s="47" t="str">
        <x:v>Pendiente</x:v>
      </x:c>
      <x:c r="K14" s="47" t="str">
        <x:v>Pendiente</x:v>
      </x:c>
      <x:c r="L14" s="47" t="str">
        <x:v>Pendiente</x:v>
      </x:c>
      <x:c r="M14" s="48"/>
      <x:c r="N14" s="48"/>
      <x:c r="O14" s="49" t="str">
        <x:f>IF(OR(M14="",N14="",M14=0),"",(M14-N14)/M14)</x:f>
      </x:c>
      <x:c r="P14" s="47" t="str"/>
      <x:c r="Q14" s="50" t="str">
        <x:v>Pendiente</x:v>
      </x:c>
    </x:row>
    <x:row r="15">
      <x:c r="A15" s="46" t="str">
        <x:v>P1</x:v>
      </x:c>
      <x:c r="B15" s="47" t="str">
        <x:v>Importar producto 11 desde Woo</x:v>
      </x:c>
      <x:c r="C15" s="47" t="str"/>
      <x:c r="D15" s="47" t="str">
        <x:v>No</x:v>
      </x:c>
      <x:c r="E15" s="47" t="str">
        <x:v>Pendiente</x:v>
      </x:c>
      <x:c r="F15" s="47" t="str">
        <x:v>Pendiente</x:v>
      </x:c>
      <x:c r="G15" s="47" t="str">
        <x:v>Pendiente</x:v>
      </x:c>
      <x:c r="H15" s="47" t="str">
        <x:v>Pendiente</x:v>
      </x:c>
      <x:c r="I15" s="47" t="str">
        <x:v>Pendiente</x:v>
      </x:c>
      <x:c r="J15" s="47" t="str">
        <x:v>Pendiente</x:v>
      </x:c>
      <x:c r="K15" s="47" t="str">
        <x:v>Pendiente</x:v>
      </x:c>
      <x:c r="L15" s="47" t="str">
        <x:v>Pendiente</x:v>
      </x:c>
      <x:c r="M15" s="48"/>
      <x:c r="N15" s="48"/>
      <x:c r="O15" s="49" t="str">
        <x:f>IF(OR(M15="",N15="",M15=0),"",(M15-N15)/M15)</x:f>
      </x:c>
      <x:c r="P15" s="47" t="str"/>
      <x:c r="Q15" s="50" t="str">
        <x:v>Pendiente</x:v>
      </x:c>
    </x:row>
    <x:row r="16">
      <x:c r="A16" s="46" t="str">
        <x:v>P1</x:v>
      </x:c>
      <x:c r="B16" s="47" t="str">
        <x:v>Importar producto 12 desde Woo</x:v>
      </x:c>
      <x:c r="C16" s="47" t="str"/>
      <x:c r="D16" s="47" t="str">
        <x:v>No</x:v>
      </x:c>
      <x:c r="E16" s="47" t="str">
        <x:v>Pendiente</x:v>
      </x:c>
      <x:c r="F16" s="47" t="str">
        <x:v>Pendiente</x:v>
      </x:c>
      <x:c r="G16" s="47" t="str">
        <x:v>Pendiente</x:v>
      </x:c>
      <x:c r="H16" s="47" t="str">
        <x:v>Pendiente</x:v>
      </x:c>
      <x:c r="I16" s="47" t="str">
        <x:v>Pendiente</x:v>
      </x:c>
      <x:c r="J16" s="47" t="str">
        <x:v>Pendiente</x:v>
      </x:c>
      <x:c r="K16" s="47" t="str">
        <x:v>Pendiente</x:v>
      </x:c>
      <x:c r="L16" s="47" t="str">
        <x:v>Pendiente</x:v>
      </x:c>
      <x:c r="M16" s="48"/>
      <x:c r="N16" s="48"/>
      <x:c r="O16" s="49" t="str">
        <x:f>IF(OR(M16="",N16="",M16=0),"",(M16-N16)/M16)</x:f>
      </x:c>
      <x:c r="P16" s="47" t="str"/>
      <x:c r="Q16" s="50" t="str">
        <x:v>Pendiente</x:v>
      </x:c>
    </x:row>
    <x:row r="17">
      <x:c r="A17" s="46" t="str">
        <x:v>P1</x:v>
      </x:c>
      <x:c r="B17" s="47" t="str">
        <x:v>Importar producto 13 desde Woo</x:v>
      </x:c>
      <x:c r="C17" s="47" t="str"/>
      <x:c r="D17" s="47" t="str">
        <x:v>No</x:v>
      </x:c>
      <x:c r="E17" s="47" t="str">
        <x:v>Pendiente</x:v>
      </x:c>
      <x:c r="F17" s="47" t="str">
        <x:v>Pendiente</x:v>
      </x:c>
      <x:c r="G17" s="47" t="str">
        <x:v>Pendiente</x:v>
      </x:c>
      <x:c r="H17" s="47" t="str">
        <x:v>Pendiente</x:v>
      </x:c>
      <x:c r="I17" s="47" t="str">
        <x:v>Pendiente</x:v>
      </x:c>
      <x:c r="J17" s="47" t="str">
        <x:v>Pendiente</x:v>
      </x:c>
      <x:c r="K17" s="47" t="str">
        <x:v>Pendiente</x:v>
      </x:c>
      <x:c r="L17" s="47" t="str">
        <x:v>Pendiente</x:v>
      </x:c>
      <x:c r="M17" s="48"/>
      <x:c r="N17" s="48"/>
      <x:c r="O17" s="49" t="str">
        <x:f>IF(OR(M17="",N17="",M17=0),"",(M17-N17)/M17)</x:f>
      </x:c>
      <x:c r="P17" s="47" t="str"/>
      <x:c r="Q17" s="50" t="str">
        <x:v>Pendiente</x:v>
      </x:c>
    </x:row>
    <x:row r="18">
      <x:c r="A18" s="46" t="str">
        <x:v>P1</x:v>
      </x:c>
      <x:c r="B18" s="47" t="str">
        <x:v>Importar producto 14 desde Woo</x:v>
      </x:c>
      <x:c r="C18" s="47" t="str"/>
      <x:c r="D18" s="47" t="str">
        <x:v>No</x:v>
      </x:c>
      <x:c r="E18" s="47" t="str">
        <x:v>Pendiente</x:v>
      </x:c>
      <x:c r="F18" s="47" t="str">
        <x:v>Pendiente</x:v>
      </x:c>
      <x:c r="G18" s="47" t="str">
        <x:v>Pendiente</x:v>
      </x:c>
      <x:c r="H18" s="47" t="str">
        <x:v>Pendiente</x:v>
      </x:c>
      <x:c r="I18" s="47" t="str">
        <x:v>Pendiente</x:v>
      </x:c>
      <x:c r="J18" s="47" t="str">
        <x:v>Pendiente</x:v>
      </x:c>
      <x:c r="K18" s="47" t="str">
        <x:v>Pendiente</x:v>
      </x:c>
      <x:c r="L18" s="47" t="str">
        <x:v>Pendiente</x:v>
      </x:c>
      <x:c r="M18" s="48"/>
      <x:c r="N18" s="48"/>
      <x:c r="O18" s="49" t="str">
        <x:f>IF(OR(M18="",N18="",M18=0),"",(M18-N18)/M18)</x:f>
      </x:c>
      <x:c r="P18" s="47" t="str"/>
      <x:c r="Q18" s="50" t="str">
        <x:v>Pendiente</x:v>
      </x:c>
    </x:row>
    <x:row r="19">
      <x:c r="A19" s="46" t="str">
        <x:v>P1</x:v>
      </x:c>
      <x:c r="B19" s="47" t="str">
        <x:v>Importar producto 15 desde Woo</x:v>
      </x:c>
      <x:c r="C19" s="47" t="str"/>
      <x:c r="D19" s="47" t="str">
        <x:v>No</x:v>
      </x:c>
      <x:c r="E19" s="47" t="str">
        <x:v>Pendiente</x:v>
      </x:c>
      <x:c r="F19" s="47" t="str">
        <x:v>Pendiente</x:v>
      </x:c>
      <x:c r="G19" s="47" t="str">
        <x:v>Pendiente</x:v>
      </x:c>
      <x:c r="H19" s="47" t="str">
        <x:v>Pendiente</x:v>
      </x:c>
      <x:c r="I19" s="47" t="str">
        <x:v>Pendiente</x:v>
      </x:c>
      <x:c r="J19" s="47" t="str">
        <x:v>Pendiente</x:v>
      </x:c>
      <x:c r="K19" s="47" t="str">
        <x:v>Pendiente</x:v>
      </x:c>
      <x:c r="L19" s="47" t="str">
        <x:v>Pendiente</x:v>
      </x:c>
      <x:c r="M19" s="48"/>
      <x:c r="N19" s="48"/>
      <x:c r="O19" s="49" t="str">
        <x:f>IF(OR(M19="",N19="",M19=0),"",(M19-N19)/M19)</x:f>
      </x:c>
      <x:c r="P19" s="47" t="str"/>
      <x:c r="Q19" s="50" t="str">
        <x:v>Pendiente</x:v>
      </x:c>
    </x:row>
    <x:row r="20">
      <x:c r="A20" s="46" t="str">
        <x:v>P1</x:v>
      </x:c>
      <x:c r="B20" s="47" t="str">
        <x:v>Importar producto 16 desde Woo</x:v>
      </x:c>
      <x:c r="C20" s="47" t="str"/>
      <x:c r="D20" s="47" t="str">
        <x:v>No</x:v>
      </x:c>
      <x:c r="E20" s="47" t="str">
        <x:v>Pendiente</x:v>
      </x:c>
      <x:c r="F20" s="47" t="str">
        <x:v>Pendiente</x:v>
      </x:c>
      <x:c r="G20" s="47" t="str">
        <x:v>Pendiente</x:v>
      </x:c>
      <x:c r="H20" s="47" t="str">
        <x:v>Pendiente</x:v>
      </x:c>
      <x:c r="I20" s="47" t="str">
        <x:v>Pendiente</x:v>
      </x:c>
      <x:c r="J20" s="47" t="str">
        <x:v>Pendiente</x:v>
      </x:c>
      <x:c r="K20" s="47" t="str">
        <x:v>Pendiente</x:v>
      </x:c>
      <x:c r="L20" s="47" t="str">
        <x:v>Pendiente</x:v>
      </x:c>
      <x:c r="M20" s="48"/>
      <x:c r="N20" s="48"/>
      <x:c r="O20" s="49" t="str">
        <x:f>IF(OR(M20="",N20="",M20=0),"",(M20-N20)/M20)</x:f>
      </x:c>
      <x:c r="P20" s="47" t="str"/>
      <x:c r="Q20" s="50" t="str">
        <x:v>Pendiente</x:v>
      </x:c>
    </x:row>
    <x:row r="21">
      <x:c r="A21" s="46" t="str">
        <x:v>P1</x:v>
      </x:c>
      <x:c r="B21" s="47" t="str">
        <x:v>Importar producto 17 desde Woo</x:v>
      </x:c>
      <x:c r="C21" s="47" t="str"/>
      <x:c r="D21" s="47" t="str">
        <x:v>No</x:v>
      </x:c>
      <x:c r="E21" s="47" t="str">
        <x:v>Pendiente</x:v>
      </x:c>
      <x:c r="F21" s="47" t="str">
        <x:v>Pendiente</x:v>
      </x:c>
      <x:c r="G21" s="47" t="str">
        <x:v>Pendiente</x:v>
      </x:c>
      <x:c r="H21" s="47" t="str">
        <x:v>Pendiente</x:v>
      </x:c>
      <x:c r="I21" s="47" t="str">
        <x:v>Pendiente</x:v>
      </x:c>
      <x:c r="J21" s="47" t="str">
        <x:v>Pendiente</x:v>
      </x:c>
      <x:c r="K21" s="47" t="str">
        <x:v>Pendiente</x:v>
      </x:c>
      <x:c r="L21" s="47" t="str">
        <x:v>Pendiente</x:v>
      </x:c>
      <x:c r="M21" s="48"/>
      <x:c r="N21" s="48"/>
      <x:c r="O21" s="49" t="str">
        <x:f>IF(OR(M21="",N21="",M21=0),"",(M21-N21)/M21)</x:f>
      </x:c>
      <x:c r="P21" s="47" t="str"/>
      <x:c r="Q21" s="50" t="str">
        <x:v>Pendiente</x:v>
      </x:c>
    </x:row>
    <x:row r="22">
      <x:c r="A22" s="46" t="str">
        <x:v>P1</x:v>
      </x:c>
      <x:c r="B22" s="47" t="str">
        <x:v>Importar producto 18 desde Woo</x:v>
      </x:c>
      <x:c r="C22" s="47" t="str"/>
      <x:c r="D22" s="47" t="str">
        <x:v>No</x:v>
      </x:c>
      <x:c r="E22" s="47" t="str">
        <x:v>Pendiente</x:v>
      </x:c>
      <x:c r="F22" s="47" t="str">
        <x:v>Pendiente</x:v>
      </x:c>
      <x:c r="G22" s="47" t="str">
        <x:v>Pendiente</x:v>
      </x:c>
      <x:c r="H22" s="47" t="str">
        <x:v>Pendiente</x:v>
      </x:c>
      <x:c r="I22" s="47" t="str">
        <x:v>Pendiente</x:v>
      </x:c>
      <x:c r="J22" s="47" t="str">
        <x:v>Pendiente</x:v>
      </x:c>
      <x:c r="K22" s="47" t="str">
        <x:v>Pendiente</x:v>
      </x:c>
      <x:c r="L22" s="47" t="str">
        <x:v>Pendiente</x:v>
      </x:c>
      <x:c r="M22" s="48"/>
      <x:c r="N22" s="48"/>
      <x:c r="O22" s="49" t="str">
        <x:f>IF(OR(M22="",N22="",M22=0),"",(M22-N22)/M22)</x:f>
      </x:c>
      <x:c r="P22" s="47" t="str"/>
      <x:c r="Q22" s="50" t="str">
        <x:v>Pendiente</x:v>
      </x:c>
    </x:row>
    <x:row r="23">
      <x:c r="A23" s="46" t="str">
        <x:v>P1</x:v>
      </x:c>
      <x:c r="B23" s="47" t="str">
        <x:v>Importar producto 19 desde Woo</x:v>
      </x:c>
      <x:c r="C23" s="47" t="str"/>
      <x:c r="D23" s="47" t="str">
        <x:v>No</x:v>
      </x:c>
      <x:c r="E23" s="47" t="str">
        <x:v>Pendiente</x:v>
      </x:c>
      <x:c r="F23" s="47" t="str">
        <x:v>Pendiente</x:v>
      </x:c>
      <x:c r="G23" s="47" t="str">
        <x:v>Pendiente</x:v>
      </x:c>
      <x:c r="H23" s="47" t="str">
        <x:v>Pendiente</x:v>
      </x:c>
      <x:c r="I23" s="47" t="str">
        <x:v>Pendiente</x:v>
      </x:c>
      <x:c r="J23" s="47" t="str">
        <x:v>Pendiente</x:v>
      </x:c>
      <x:c r="K23" s="47" t="str">
        <x:v>Pendiente</x:v>
      </x:c>
      <x:c r="L23" s="47" t="str">
        <x:v>Pendiente</x:v>
      </x:c>
      <x:c r="M23" s="48"/>
      <x:c r="N23" s="48"/>
      <x:c r="O23" s="49" t="str">
        <x:f>IF(OR(M23="",N23="",M23=0),"",(M23-N23)/M23)</x:f>
      </x:c>
      <x:c r="P23" s="47" t="str"/>
      <x:c r="Q23" s="50" t="str">
        <x:v>Pendiente</x:v>
      </x:c>
    </x:row>
    <x:row r="24">
      <x:c r="A24" s="46" t="str">
        <x:v>P1</x:v>
      </x:c>
      <x:c r="B24" s="47" t="str">
        <x:v>Importar producto 20 desde Woo</x:v>
      </x:c>
      <x:c r="C24" s="47" t="str"/>
      <x:c r="D24" s="47" t="str">
        <x:v>No</x:v>
      </x:c>
      <x:c r="E24" s="47" t="str">
        <x:v>Pendiente</x:v>
      </x:c>
      <x:c r="F24" s="47" t="str">
        <x:v>Pendiente</x:v>
      </x:c>
      <x:c r="G24" s="47" t="str">
        <x:v>Pendiente</x:v>
      </x:c>
      <x:c r="H24" s="47" t="str">
        <x:v>Pendiente</x:v>
      </x:c>
      <x:c r="I24" s="47" t="str">
        <x:v>Pendiente</x:v>
      </x:c>
      <x:c r="J24" s="47" t="str">
        <x:v>Pendiente</x:v>
      </x:c>
      <x:c r="K24" s="47" t="str">
        <x:v>Pendiente</x:v>
      </x:c>
      <x:c r="L24" s="47" t="str">
        <x:v>Pendiente</x:v>
      </x:c>
      <x:c r="M24" s="48"/>
      <x:c r="N24" s="48"/>
      <x:c r="O24" s="49" t="str">
        <x:f>IF(OR(M24="",N24="",M24=0),"",(M24-N24)/M24)</x:f>
      </x:c>
      <x:c r="P24" s="47" t="str"/>
      <x:c r="Q24" s="50" t="str">
        <x:v>Pendiente</x:v>
      </x:c>
    </x:row>
    <x:row r="25">
      <x:c r="A25" s="46" t="str">
        <x:v>P1</x:v>
      </x:c>
      <x:c r="B25" s="47" t="str">
        <x:v>Importar producto 21 desde Woo</x:v>
      </x:c>
      <x:c r="C25" s="47" t="str"/>
      <x:c r="D25" s="47" t="str">
        <x:v>No</x:v>
      </x:c>
      <x:c r="E25" s="47" t="str">
        <x:v>Pendiente</x:v>
      </x:c>
      <x:c r="F25" s="47" t="str">
        <x:v>Pendiente</x:v>
      </x:c>
      <x:c r="G25" s="47" t="str">
        <x:v>Pendiente</x:v>
      </x:c>
      <x:c r="H25" s="47" t="str">
        <x:v>Pendiente</x:v>
      </x:c>
      <x:c r="I25" s="47" t="str">
        <x:v>Pendiente</x:v>
      </x:c>
      <x:c r="J25" s="47" t="str">
        <x:v>Pendiente</x:v>
      </x:c>
      <x:c r="K25" s="47" t="str">
        <x:v>Pendiente</x:v>
      </x:c>
      <x:c r="L25" s="47" t="str">
        <x:v>Pendiente</x:v>
      </x:c>
      <x:c r="M25" s="48"/>
      <x:c r="N25" s="48"/>
      <x:c r="O25" s="49" t="str">
        <x:f>IF(OR(M25="",N25="",M25=0),"",(M25-N25)/M25)</x:f>
      </x:c>
      <x:c r="P25" s="47" t="str"/>
      <x:c r="Q25" s="50" t="str">
        <x:v>Pendiente</x:v>
      </x:c>
    </x:row>
    <x:row r="26">
      <x:c r="A26" s="46" t="str">
        <x:v>P1</x:v>
      </x:c>
      <x:c r="B26" s="47" t="str">
        <x:v>Importar producto 22 desde Woo</x:v>
      </x:c>
      <x:c r="C26" s="47" t="str"/>
      <x:c r="D26" s="47" t="str">
        <x:v>No</x:v>
      </x:c>
      <x:c r="E26" s="47" t="str">
        <x:v>Pendiente</x:v>
      </x:c>
      <x:c r="F26" s="47" t="str">
        <x:v>Pendiente</x:v>
      </x:c>
      <x:c r="G26" s="47" t="str">
        <x:v>Pendiente</x:v>
      </x:c>
      <x:c r="H26" s="47" t="str">
        <x:v>Pendiente</x:v>
      </x:c>
      <x:c r="I26" s="47" t="str">
        <x:v>Pendiente</x:v>
      </x:c>
      <x:c r="J26" s="47" t="str">
        <x:v>Pendiente</x:v>
      </x:c>
      <x:c r="K26" s="47" t="str">
        <x:v>Pendiente</x:v>
      </x:c>
      <x:c r="L26" s="47" t="str">
        <x:v>Pendiente</x:v>
      </x:c>
      <x:c r="M26" s="48"/>
      <x:c r="N26" s="48"/>
      <x:c r="O26" s="49" t="str">
        <x:f>IF(OR(M26="",N26="",M26=0),"",(M26-N26)/M26)</x:f>
      </x:c>
      <x:c r="P26" s="47" t="str"/>
      <x:c r="Q26" s="50" t="str">
        <x:v>Pendiente</x:v>
      </x:c>
    </x:row>
    <x:row r="27">
      <x:c r="A27" s="46" t="str">
        <x:v>P1</x:v>
      </x:c>
      <x:c r="B27" s="47" t="str">
        <x:v>Importar producto 23 desde Woo</x:v>
      </x:c>
      <x:c r="C27" s="47" t="str"/>
      <x:c r="D27" s="47" t="str">
        <x:v>No</x:v>
      </x:c>
      <x:c r="E27" s="47" t="str">
        <x:v>Pendiente</x:v>
      </x:c>
      <x:c r="F27" s="47" t="str">
        <x:v>Pendiente</x:v>
      </x:c>
      <x:c r="G27" s="47" t="str">
        <x:v>Pendiente</x:v>
      </x:c>
      <x:c r="H27" s="47" t="str">
        <x:v>Pendiente</x:v>
      </x:c>
      <x:c r="I27" s="47" t="str">
        <x:v>Pendiente</x:v>
      </x:c>
      <x:c r="J27" s="47" t="str">
        <x:v>Pendiente</x:v>
      </x:c>
      <x:c r="K27" s="47" t="str">
        <x:v>Pendiente</x:v>
      </x:c>
      <x:c r="L27" s="47" t="str">
        <x:v>Pendiente</x:v>
      </x:c>
      <x:c r="M27" s="48"/>
      <x:c r="N27" s="48"/>
      <x:c r="O27" s="49" t="str">
        <x:f>IF(OR(M27="",N27="",M27=0),"",(M27-N27)/M27)</x:f>
      </x:c>
      <x:c r="P27" s="47" t="str"/>
      <x:c r="Q27" s="50" t="str">
        <x:v>Pendiente</x:v>
      </x:c>
    </x:row>
    <x:row r="28">
      <x:c r="A28" s="46" t="str">
        <x:v>P1</x:v>
      </x:c>
      <x:c r="B28" s="47" t="str">
        <x:v>Importar producto 24 desde Woo</x:v>
      </x:c>
      <x:c r="C28" s="47" t="str"/>
      <x:c r="D28" s="47" t="str">
        <x:v>No</x:v>
      </x:c>
      <x:c r="E28" s="47" t="str">
        <x:v>Pendiente</x:v>
      </x:c>
      <x:c r="F28" s="47" t="str">
        <x:v>Pendiente</x:v>
      </x:c>
      <x:c r="G28" s="47" t="str">
        <x:v>Pendiente</x:v>
      </x:c>
      <x:c r="H28" s="47" t="str">
        <x:v>Pendiente</x:v>
      </x:c>
      <x:c r="I28" s="47" t="str">
        <x:v>Pendiente</x:v>
      </x:c>
      <x:c r="J28" s="47" t="str">
        <x:v>Pendiente</x:v>
      </x:c>
      <x:c r="K28" s="47" t="str">
        <x:v>Pendiente</x:v>
      </x:c>
      <x:c r="L28" s="47" t="str">
        <x:v>Pendiente</x:v>
      </x:c>
      <x:c r="M28" s="48"/>
      <x:c r="N28" s="48"/>
      <x:c r="O28" s="49" t="str">
        <x:f>IF(OR(M28="",N28="",M28=0),"",(M28-N28)/M28)</x:f>
      </x:c>
      <x:c r="P28" s="47" t="str"/>
      <x:c r="Q28" s="50" t="str">
        <x:v>Pendiente</x:v>
      </x:c>
    </x:row>
    <x:row r="29">
      <x:c r="A29" s="46" t="str">
        <x:v>P1</x:v>
      </x:c>
      <x:c r="B29" s="47" t="str">
        <x:v>Importar producto 25 desde Woo</x:v>
      </x:c>
      <x:c r="C29" s="47" t="str"/>
      <x:c r="D29" s="47" t="str">
        <x:v>No</x:v>
      </x:c>
      <x:c r="E29" s="47" t="str">
        <x:v>Pendiente</x:v>
      </x:c>
      <x:c r="F29" s="47" t="str">
        <x:v>Pendiente</x:v>
      </x:c>
      <x:c r="G29" s="47" t="str">
        <x:v>Pendiente</x:v>
      </x:c>
      <x:c r="H29" s="47" t="str">
        <x:v>Pendiente</x:v>
      </x:c>
      <x:c r="I29" s="47" t="str">
        <x:v>Pendiente</x:v>
      </x:c>
      <x:c r="J29" s="47" t="str">
        <x:v>Pendiente</x:v>
      </x:c>
      <x:c r="K29" s="47" t="str">
        <x:v>Pendiente</x:v>
      </x:c>
      <x:c r="L29" s="47" t="str">
        <x:v>Pendiente</x:v>
      </x:c>
      <x:c r="M29" s="48"/>
      <x:c r="N29" s="48"/>
      <x:c r="O29" s="49" t="str">
        <x:f>IF(OR(M29="",N29="",M29=0),"",(M29-N29)/M29)</x:f>
      </x:c>
      <x:c r="P29" s="47" t="str"/>
      <x:c r="Q29" s="50" t="str">
        <x:v>Pendiente</x:v>
      </x:c>
    </x:row>
    <x:row r="30">
      <x:c r="A30" s="46" t="str">
        <x:v>P1</x:v>
      </x:c>
      <x:c r="B30" s="47" t="str">
        <x:v>Importar producto 26 desde Woo</x:v>
      </x:c>
      <x:c r="C30" s="47" t="str"/>
      <x:c r="D30" s="47" t="str">
        <x:v>No</x:v>
      </x:c>
      <x:c r="E30" s="47" t="str">
        <x:v>Pendiente</x:v>
      </x:c>
      <x:c r="F30" s="47" t="str">
        <x:v>Pendiente</x:v>
      </x:c>
      <x:c r="G30" s="47" t="str">
        <x:v>Pendiente</x:v>
      </x:c>
      <x:c r="H30" s="47" t="str">
        <x:v>Pendiente</x:v>
      </x:c>
      <x:c r="I30" s="47" t="str">
        <x:v>Pendiente</x:v>
      </x:c>
      <x:c r="J30" s="47" t="str">
        <x:v>Pendiente</x:v>
      </x:c>
      <x:c r="K30" s="47" t="str">
        <x:v>Pendiente</x:v>
      </x:c>
      <x:c r="L30" s="47" t="str">
        <x:v>Pendiente</x:v>
      </x:c>
      <x:c r="M30" s="48"/>
      <x:c r="N30" s="48"/>
      <x:c r="O30" s="49" t="str">
        <x:f>IF(OR(M30="",N30="",M30=0),"",(M30-N30)/M30)</x:f>
      </x:c>
      <x:c r="P30" s="47" t="str"/>
      <x:c r="Q30" s="50" t="str">
        <x:v>Pendiente</x:v>
      </x:c>
    </x:row>
    <x:row r="31">
      <x:c r="A31" s="46" t="str">
        <x:v>P1</x:v>
      </x:c>
      <x:c r="B31" s="47" t="str">
        <x:v>Importar producto 27 desde Woo</x:v>
      </x:c>
      <x:c r="C31" s="47" t="str"/>
      <x:c r="D31" s="47" t="str">
        <x:v>No</x:v>
      </x:c>
      <x:c r="E31" s="47" t="str">
        <x:v>Pendiente</x:v>
      </x:c>
      <x:c r="F31" s="47" t="str">
        <x:v>Pendiente</x:v>
      </x:c>
      <x:c r="G31" s="47" t="str">
        <x:v>Pendiente</x:v>
      </x:c>
      <x:c r="H31" s="47" t="str">
        <x:v>Pendiente</x:v>
      </x:c>
      <x:c r="I31" s="47" t="str">
        <x:v>Pendiente</x:v>
      </x:c>
      <x:c r="J31" s="47" t="str">
        <x:v>Pendiente</x:v>
      </x:c>
      <x:c r="K31" s="47" t="str">
        <x:v>Pendiente</x:v>
      </x:c>
      <x:c r="L31" s="47" t="str">
        <x:v>Pendiente</x:v>
      </x:c>
      <x:c r="M31" s="48"/>
      <x:c r="N31" s="48"/>
      <x:c r="O31" s="49" t="str">
        <x:f>IF(OR(M31="",N31="",M31=0),"",(M31-N31)/M31)</x:f>
      </x:c>
      <x:c r="P31" s="47" t="str"/>
      <x:c r="Q31" s="50" t="str">
        <x:v>Pendiente</x:v>
      </x:c>
    </x:row>
    <x:row r="32">
      <x:c r="A32" s="46" t="str">
        <x:v>P1</x:v>
      </x:c>
      <x:c r="B32" s="47" t="str">
        <x:v>Importar producto 28 desde Woo</x:v>
      </x:c>
      <x:c r="C32" s="47" t="str"/>
      <x:c r="D32" s="47" t="str">
        <x:v>No</x:v>
      </x:c>
      <x:c r="E32" s="47" t="str">
        <x:v>Pendiente</x:v>
      </x:c>
      <x:c r="F32" s="47" t="str">
        <x:v>Pendiente</x:v>
      </x:c>
      <x:c r="G32" s="47" t="str">
        <x:v>Pendiente</x:v>
      </x:c>
      <x:c r="H32" s="47" t="str">
        <x:v>Pendiente</x:v>
      </x:c>
      <x:c r="I32" s="47" t="str">
        <x:v>Pendiente</x:v>
      </x:c>
      <x:c r="J32" s="47" t="str">
        <x:v>Pendiente</x:v>
      </x:c>
      <x:c r="K32" s="47" t="str">
        <x:v>Pendiente</x:v>
      </x:c>
      <x:c r="L32" s="47" t="str">
        <x:v>Pendiente</x:v>
      </x:c>
      <x:c r="M32" s="48"/>
      <x:c r="N32" s="48"/>
      <x:c r="O32" s="49" t="str">
        <x:f>IF(OR(M32="",N32="",M32=0),"",(M32-N32)/M32)</x:f>
      </x:c>
      <x:c r="P32" s="47" t="str"/>
      <x:c r="Q32" s="50" t="str">
        <x:v>Pendiente</x:v>
      </x:c>
    </x:row>
    <x:row r="33">
      <x:c r="A33" s="46" t="str">
        <x:v>P1</x:v>
      </x:c>
      <x:c r="B33" s="47" t="str">
        <x:v>Importar producto 29 desde Woo</x:v>
      </x:c>
      <x:c r="C33" s="47" t="str"/>
      <x:c r="D33" s="47" t="str">
        <x:v>No</x:v>
      </x:c>
      <x:c r="E33" s="47" t="str">
        <x:v>Pendiente</x:v>
      </x:c>
      <x:c r="F33" s="47" t="str">
        <x:v>Pendiente</x:v>
      </x:c>
      <x:c r="G33" s="47" t="str">
        <x:v>Pendiente</x:v>
      </x:c>
      <x:c r="H33" s="47" t="str">
        <x:v>Pendiente</x:v>
      </x:c>
      <x:c r="I33" s="47" t="str">
        <x:v>Pendiente</x:v>
      </x:c>
      <x:c r="J33" s="47" t="str">
        <x:v>Pendiente</x:v>
      </x:c>
      <x:c r="K33" s="47" t="str">
        <x:v>Pendiente</x:v>
      </x:c>
      <x:c r="L33" s="47" t="str">
        <x:v>Pendiente</x:v>
      </x:c>
      <x:c r="M33" s="48"/>
      <x:c r="N33" s="48"/>
      <x:c r="O33" s="49" t="str">
        <x:f>IF(OR(M33="",N33="",M33=0),"",(M33-N33)/M33)</x:f>
      </x:c>
      <x:c r="P33" s="47" t="str"/>
      <x:c r="Q33" s="50" t="str">
        <x:v>Pendiente</x:v>
      </x:c>
    </x:row>
    <x:row r="34">
      <x:c r="A34" s="46" t="str">
        <x:v>P1</x:v>
      </x:c>
      <x:c r="B34" s="47" t="str">
        <x:v>Importar producto 30 desde Woo</x:v>
      </x:c>
      <x:c r="C34" s="47" t="str"/>
      <x:c r="D34" s="47" t="str">
        <x:v>No</x:v>
      </x:c>
      <x:c r="E34" s="47" t="str">
        <x:v>Pendiente</x:v>
      </x:c>
      <x:c r="F34" s="47" t="str">
        <x:v>Pendiente</x:v>
      </x:c>
      <x:c r="G34" s="47" t="str">
        <x:v>Pendiente</x:v>
      </x:c>
      <x:c r="H34" s="47" t="str">
        <x:v>Pendiente</x:v>
      </x:c>
      <x:c r="I34" s="47" t="str">
        <x:v>Pendiente</x:v>
      </x:c>
      <x:c r="J34" s="47" t="str">
        <x:v>Pendiente</x:v>
      </x:c>
      <x:c r="K34" s="47" t="str">
        <x:v>Pendiente</x:v>
      </x:c>
      <x:c r="L34" s="47" t="str">
        <x:v>Pendiente</x:v>
      </x:c>
      <x:c r="M34" s="48"/>
      <x:c r="N34" s="48"/>
      <x:c r="O34" s="49" t="str">
        <x:f>IF(OR(M34="",N34="",M34=0),"",(M34-N34)/M34)</x:f>
      </x:c>
      <x:c r="P34" s="47" t="str"/>
      <x:c r="Q34" s="50" t="str">
        <x:v>Pendiente</x:v>
      </x:c>
    </x:row>
    <x:row r="35">
      <x:c r="A35" s="46" t="str">
        <x:v>P1</x:v>
      </x:c>
      <x:c r="B35" s="47" t="str">
        <x:v>Importar producto 31 desde Woo</x:v>
      </x:c>
      <x:c r="C35" s="47" t="str"/>
      <x:c r="D35" s="47" t="str">
        <x:v>No</x:v>
      </x:c>
      <x:c r="E35" s="47" t="str">
        <x:v>Pendiente</x:v>
      </x:c>
      <x:c r="F35" s="47" t="str">
        <x:v>Pendiente</x:v>
      </x:c>
      <x:c r="G35" s="47" t="str">
        <x:v>Pendiente</x:v>
      </x:c>
      <x:c r="H35" s="47" t="str">
        <x:v>Pendiente</x:v>
      </x:c>
      <x:c r="I35" s="47" t="str">
        <x:v>Pendiente</x:v>
      </x:c>
      <x:c r="J35" s="47" t="str">
        <x:v>Pendiente</x:v>
      </x:c>
      <x:c r="K35" s="47" t="str">
        <x:v>Pendiente</x:v>
      </x:c>
      <x:c r="L35" s="47" t="str">
        <x:v>Pendiente</x:v>
      </x:c>
      <x:c r="M35" s="48"/>
      <x:c r="N35" s="48"/>
      <x:c r="O35" s="49" t="str">
        <x:f>IF(OR(M35="",N35="",M35=0),"",(M35-N35)/M35)</x:f>
      </x:c>
      <x:c r="P35" s="47" t="str"/>
      <x:c r="Q35" s="50" t="str">
        <x:v>Pendiente</x:v>
      </x:c>
    </x:row>
    <x:row r="36">
      <x:c r="A36" s="46" t="str">
        <x:v>P1</x:v>
      </x:c>
      <x:c r="B36" s="47" t="str">
        <x:v>Importar producto 32 desde Woo</x:v>
      </x:c>
      <x:c r="C36" s="47" t="str"/>
      <x:c r="D36" s="47" t="str">
        <x:v>No</x:v>
      </x:c>
      <x:c r="E36" s="47" t="str">
        <x:v>Pendiente</x:v>
      </x:c>
      <x:c r="F36" s="47" t="str">
        <x:v>Pendiente</x:v>
      </x:c>
      <x:c r="G36" s="47" t="str">
        <x:v>Pendiente</x:v>
      </x:c>
      <x:c r="H36" s="47" t="str">
        <x:v>Pendiente</x:v>
      </x:c>
      <x:c r="I36" s="47" t="str">
        <x:v>Pendiente</x:v>
      </x:c>
      <x:c r="J36" s="47" t="str">
        <x:v>Pendiente</x:v>
      </x:c>
      <x:c r="K36" s="47" t="str">
        <x:v>Pendiente</x:v>
      </x:c>
      <x:c r="L36" s="47" t="str">
        <x:v>Pendiente</x:v>
      </x:c>
      <x:c r="M36" s="48"/>
      <x:c r="N36" s="48"/>
      <x:c r="O36" s="49" t="str">
        <x:f>IF(OR(M36="",N36="",M36=0),"",(M36-N36)/M36)</x:f>
      </x:c>
      <x:c r="P36" s="47" t="str"/>
      <x:c r="Q36" s="50" t="str">
        <x:v>Pendiente</x:v>
      </x:c>
    </x:row>
    <x:row r="37">
      <x:c r="A37" s="46" t="str">
        <x:v>P1</x:v>
      </x:c>
      <x:c r="B37" s="47" t="str">
        <x:v>Importar producto 33 desde Woo</x:v>
      </x:c>
      <x:c r="C37" s="47" t="str"/>
      <x:c r="D37" s="47" t="str">
        <x:v>No</x:v>
      </x:c>
      <x:c r="E37" s="47" t="str">
        <x:v>Pendiente</x:v>
      </x:c>
      <x:c r="F37" s="47" t="str">
        <x:v>Pendiente</x:v>
      </x:c>
      <x:c r="G37" s="47" t="str">
        <x:v>Pendiente</x:v>
      </x:c>
      <x:c r="H37" s="47" t="str">
        <x:v>Pendiente</x:v>
      </x:c>
      <x:c r="I37" s="47" t="str">
        <x:v>Pendiente</x:v>
      </x:c>
      <x:c r="J37" s="47" t="str">
        <x:v>Pendiente</x:v>
      </x:c>
      <x:c r="K37" s="47" t="str">
        <x:v>Pendiente</x:v>
      </x:c>
      <x:c r="L37" s="47" t="str">
        <x:v>Pendiente</x:v>
      </x:c>
      <x:c r="M37" s="48"/>
      <x:c r="N37" s="48"/>
      <x:c r="O37" s="49" t="str">
        <x:f>IF(OR(M37="",N37="",M37=0),"",(M37-N37)/M37)</x:f>
      </x:c>
      <x:c r="P37" s="47" t="str"/>
      <x:c r="Q37" s="50" t="str">
        <x:v>Pendiente</x:v>
      </x:c>
    </x:row>
    <x:row r="38">
      <x:c r="A38" s="46" t="str">
        <x:v>P1</x:v>
      </x:c>
      <x:c r="B38" s="47" t="str">
        <x:v>Importar producto 34 desde Woo</x:v>
      </x:c>
      <x:c r="C38" s="47" t="str"/>
      <x:c r="D38" s="47" t="str">
        <x:v>No</x:v>
      </x:c>
      <x:c r="E38" s="47" t="str">
        <x:v>Pendiente</x:v>
      </x:c>
      <x:c r="F38" s="47" t="str">
        <x:v>Pendiente</x:v>
      </x:c>
      <x:c r="G38" s="47" t="str">
        <x:v>Pendiente</x:v>
      </x:c>
      <x:c r="H38" s="47" t="str">
        <x:v>Pendiente</x:v>
      </x:c>
      <x:c r="I38" s="47" t="str">
        <x:v>Pendiente</x:v>
      </x:c>
      <x:c r="J38" s="47" t="str">
        <x:v>Pendiente</x:v>
      </x:c>
      <x:c r="K38" s="47" t="str">
        <x:v>Pendiente</x:v>
      </x:c>
      <x:c r="L38" s="47" t="str">
        <x:v>Pendiente</x:v>
      </x:c>
      <x:c r="M38" s="48"/>
      <x:c r="N38" s="48"/>
      <x:c r="O38" s="49" t="str">
        <x:f>IF(OR(M38="",N38="",M38=0),"",(M38-N38)/M38)</x:f>
      </x:c>
      <x:c r="P38" s="47" t="str"/>
      <x:c r="Q38" s="50" t="str">
        <x:v>Pendiente</x:v>
      </x:c>
    </x:row>
    <x:row r="39">
      <x:c r="A39" s="46" t="str">
        <x:v>P1</x:v>
      </x:c>
      <x:c r="B39" s="47" t="str">
        <x:v>Importar producto 35 desde Woo</x:v>
      </x:c>
      <x:c r="C39" s="47" t="str"/>
      <x:c r="D39" s="47" t="str">
        <x:v>No</x:v>
      </x:c>
      <x:c r="E39" s="47" t="str">
        <x:v>Pendiente</x:v>
      </x:c>
      <x:c r="F39" s="47" t="str">
        <x:v>Pendiente</x:v>
      </x:c>
      <x:c r="G39" s="47" t="str">
        <x:v>Pendiente</x:v>
      </x:c>
      <x:c r="H39" s="47" t="str">
        <x:v>Pendiente</x:v>
      </x:c>
      <x:c r="I39" s="47" t="str">
        <x:v>Pendiente</x:v>
      </x:c>
      <x:c r="J39" s="47" t="str">
        <x:v>Pendiente</x:v>
      </x:c>
      <x:c r="K39" s="47" t="str">
        <x:v>Pendiente</x:v>
      </x:c>
      <x:c r="L39" s="47" t="str">
        <x:v>Pendiente</x:v>
      </x:c>
      <x:c r="M39" s="48"/>
      <x:c r="N39" s="48"/>
      <x:c r="O39" s="49" t="str">
        <x:f>IF(OR(M39="",N39="",M39=0),"",(M39-N39)/M39)</x:f>
      </x:c>
      <x:c r="P39" s="47" t="str"/>
      <x:c r="Q39" s="50" t="str">
        <x:v>Pendiente</x:v>
      </x:c>
    </x:row>
    <x:row r="40">
      <x:c r="A40" s="46" t="str">
        <x:v>P1</x:v>
      </x:c>
      <x:c r="B40" s="47" t="str">
        <x:v>Importar producto 36 desde Woo</x:v>
      </x:c>
      <x:c r="C40" s="47" t="str"/>
      <x:c r="D40" s="47" t="str">
        <x:v>No</x:v>
      </x:c>
      <x:c r="E40" s="47" t="str">
        <x:v>Pendiente</x:v>
      </x:c>
      <x:c r="F40" s="47" t="str">
        <x:v>Pendiente</x:v>
      </x:c>
      <x:c r="G40" s="47" t="str">
        <x:v>Pendiente</x:v>
      </x:c>
      <x:c r="H40" s="47" t="str">
        <x:v>Pendiente</x:v>
      </x:c>
      <x:c r="I40" s="47" t="str">
        <x:v>Pendiente</x:v>
      </x:c>
      <x:c r="J40" s="47" t="str">
        <x:v>Pendiente</x:v>
      </x:c>
      <x:c r="K40" s="47" t="str">
        <x:v>Pendiente</x:v>
      </x:c>
      <x:c r="L40" s="47" t="str">
        <x:v>Pendiente</x:v>
      </x:c>
      <x:c r="M40" s="48"/>
      <x:c r="N40" s="48"/>
      <x:c r="O40" s="49" t="str">
        <x:f>IF(OR(M40="",N40="",M40=0),"",(M40-N40)/M40)</x:f>
      </x:c>
      <x:c r="P40" s="47" t="str"/>
      <x:c r="Q40" s="50" t="str">
        <x:v>Pendiente</x:v>
      </x:c>
    </x:row>
    <x:row r="41">
      <x:c r="A41" s="46" t="str">
        <x:v>P1</x:v>
      </x:c>
      <x:c r="B41" s="47" t="str">
        <x:v>Importar producto 37 desde Woo</x:v>
      </x:c>
      <x:c r="C41" s="47" t="str"/>
      <x:c r="D41" s="47" t="str">
        <x:v>No</x:v>
      </x:c>
      <x:c r="E41" s="47" t="str">
        <x:v>Pendiente</x:v>
      </x:c>
      <x:c r="F41" s="47" t="str">
        <x:v>Pendiente</x:v>
      </x:c>
      <x:c r="G41" s="47" t="str">
        <x:v>Pendiente</x:v>
      </x:c>
      <x:c r="H41" s="47" t="str">
        <x:v>Pendiente</x:v>
      </x:c>
      <x:c r="I41" s="47" t="str">
        <x:v>Pendiente</x:v>
      </x:c>
      <x:c r="J41" s="47" t="str">
        <x:v>Pendiente</x:v>
      </x:c>
      <x:c r="K41" s="47" t="str">
        <x:v>Pendiente</x:v>
      </x:c>
      <x:c r="L41" s="47" t="str">
        <x:v>Pendiente</x:v>
      </x:c>
      <x:c r="M41" s="48"/>
      <x:c r="N41" s="48"/>
      <x:c r="O41" s="49" t="str">
        <x:f>IF(OR(M41="",N41="",M41=0),"",(M41-N41)/M41)</x:f>
      </x:c>
      <x:c r="P41" s="47" t="str"/>
      <x:c r="Q41" s="50" t="str">
        <x:v>Pendiente</x:v>
      </x:c>
    </x:row>
    <x:row r="42">
      <x:c r="A42" s="46" t="str">
        <x:v>P1</x:v>
      </x:c>
      <x:c r="B42" s="47" t="str">
        <x:v>Importar producto 38 desde Woo</x:v>
      </x:c>
      <x:c r="C42" s="47" t="str"/>
      <x:c r="D42" s="47" t="str">
        <x:v>No</x:v>
      </x:c>
      <x:c r="E42" s="47" t="str">
        <x:v>Pendiente</x:v>
      </x:c>
      <x:c r="F42" s="47" t="str">
        <x:v>Pendiente</x:v>
      </x:c>
      <x:c r="G42" s="47" t="str">
        <x:v>Pendiente</x:v>
      </x:c>
      <x:c r="H42" s="47" t="str">
        <x:v>Pendiente</x:v>
      </x:c>
      <x:c r="I42" s="47" t="str">
        <x:v>Pendiente</x:v>
      </x:c>
      <x:c r="J42" s="47" t="str">
        <x:v>Pendiente</x:v>
      </x:c>
      <x:c r="K42" s="47" t="str">
        <x:v>Pendiente</x:v>
      </x:c>
      <x:c r="L42" s="47" t="str">
        <x:v>Pendiente</x:v>
      </x:c>
      <x:c r="M42" s="48"/>
      <x:c r="N42" s="48"/>
      <x:c r="O42" s="49" t="str">
        <x:f>IF(OR(M42="",N42="",M42=0),"",(M42-N42)/M42)</x:f>
      </x:c>
      <x:c r="P42" s="47" t="str"/>
      <x:c r="Q42" s="50" t="str">
        <x:v>Pendiente</x:v>
      </x:c>
    </x:row>
    <x:row r="43">
      <x:c r="A43" s="46" t="str">
        <x:v>P1</x:v>
      </x:c>
      <x:c r="B43" s="47" t="str">
        <x:v>Importar producto 39 desde Woo</x:v>
      </x:c>
      <x:c r="C43" s="47" t="str"/>
      <x:c r="D43" s="47" t="str">
        <x:v>No</x:v>
      </x:c>
      <x:c r="E43" s="47" t="str">
        <x:v>Pendiente</x:v>
      </x:c>
      <x:c r="F43" s="47" t="str">
        <x:v>Pendiente</x:v>
      </x:c>
      <x:c r="G43" s="47" t="str">
        <x:v>Pendiente</x:v>
      </x:c>
      <x:c r="H43" s="47" t="str">
        <x:v>Pendiente</x:v>
      </x:c>
      <x:c r="I43" s="47" t="str">
        <x:v>Pendiente</x:v>
      </x:c>
      <x:c r="J43" s="47" t="str">
        <x:v>Pendiente</x:v>
      </x:c>
      <x:c r="K43" s="47" t="str">
        <x:v>Pendiente</x:v>
      </x:c>
      <x:c r="L43" s="47" t="str">
        <x:v>Pendiente</x:v>
      </x:c>
      <x:c r="M43" s="48"/>
      <x:c r="N43" s="48"/>
      <x:c r="O43" s="49" t="str">
        <x:f>IF(OR(M43="",N43="",M43=0),"",(M43-N43)/M43)</x:f>
      </x:c>
      <x:c r="P43" s="47" t="str"/>
      <x:c r="Q43" s="50" t="str">
        <x:v>Pendiente</x:v>
      </x:c>
    </x:row>
    <x:row r="44">
      <x:c r="A44" s="46" t="str">
        <x:v>P1</x:v>
      </x:c>
      <x:c r="B44" s="47" t="str">
        <x:v>Importar producto 40 desde Woo</x:v>
      </x:c>
      <x:c r="C44" s="47" t="str"/>
      <x:c r="D44" s="47" t="str">
        <x:v>No</x:v>
      </x:c>
      <x:c r="E44" s="47" t="str">
        <x:v>Pendiente</x:v>
      </x:c>
      <x:c r="F44" s="47" t="str">
        <x:v>Pendiente</x:v>
      </x:c>
      <x:c r="G44" s="47" t="str">
        <x:v>Pendiente</x:v>
      </x:c>
      <x:c r="H44" s="47" t="str">
        <x:v>Pendiente</x:v>
      </x:c>
      <x:c r="I44" s="47" t="str">
        <x:v>Pendiente</x:v>
      </x:c>
      <x:c r="J44" s="47" t="str">
        <x:v>Pendiente</x:v>
      </x:c>
      <x:c r="K44" s="47" t="str">
        <x:v>Pendiente</x:v>
      </x:c>
      <x:c r="L44" s="47" t="str">
        <x:v>Pendiente</x:v>
      </x:c>
      <x:c r="M44" s="48"/>
      <x:c r="N44" s="48"/>
      <x:c r="O44" s="49" t="str">
        <x:f>IF(OR(M44="",N44="",M44=0),"",(M44-N44)/M44)</x:f>
      </x:c>
      <x:c r="P44" s="47" t="str"/>
      <x:c r="Q44" s="50" t="str">
        <x:v>Pendiente</x:v>
      </x:c>
    </x:row>
    <x:row r="45">
      <x:c r="A45" s="46" t="str">
        <x:v>P1</x:v>
      </x:c>
      <x:c r="B45" s="47" t="str">
        <x:v>Importar producto 41 desde Woo</x:v>
      </x:c>
      <x:c r="C45" s="47" t="str"/>
      <x:c r="D45" s="47" t="str">
        <x:v>No</x:v>
      </x:c>
      <x:c r="E45" s="47" t="str">
        <x:v>Pendiente</x:v>
      </x:c>
      <x:c r="F45" s="47" t="str">
        <x:v>Pendiente</x:v>
      </x:c>
      <x:c r="G45" s="47" t="str">
        <x:v>Pendiente</x:v>
      </x:c>
      <x:c r="H45" s="47" t="str">
        <x:v>Pendiente</x:v>
      </x:c>
      <x:c r="I45" s="47" t="str">
        <x:v>Pendiente</x:v>
      </x:c>
      <x:c r="J45" s="47" t="str">
        <x:v>Pendiente</x:v>
      </x:c>
      <x:c r="K45" s="47" t="str">
        <x:v>Pendiente</x:v>
      </x:c>
      <x:c r="L45" s="47" t="str">
        <x:v>Pendiente</x:v>
      </x:c>
      <x:c r="M45" s="48"/>
      <x:c r="N45" s="48"/>
      <x:c r="O45" s="49" t="str">
        <x:f>IF(OR(M45="",N45="",M45=0),"",(M45-N45)/M45)</x:f>
      </x:c>
      <x:c r="P45" s="47" t="str"/>
      <x:c r="Q45" s="50" t="str">
        <x:v>Pendiente</x:v>
      </x:c>
    </x:row>
    <x:row r="46">
      <x:c r="A46" s="46" t="str">
        <x:v>P1</x:v>
      </x:c>
      <x:c r="B46" s="47" t="str">
        <x:v>Importar producto 42 desde Woo</x:v>
      </x:c>
      <x:c r="C46" s="47" t="str"/>
      <x:c r="D46" s="47" t="str">
        <x:v>No</x:v>
      </x:c>
      <x:c r="E46" s="47" t="str">
        <x:v>Pendiente</x:v>
      </x:c>
      <x:c r="F46" s="47" t="str">
        <x:v>Pendiente</x:v>
      </x:c>
      <x:c r="G46" s="47" t="str">
        <x:v>Pendiente</x:v>
      </x:c>
      <x:c r="H46" s="47" t="str">
        <x:v>Pendiente</x:v>
      </x:c>
      <x:c r="I46" s="47" t="str">
        <x:v>Pendiente</x:v>
      </x:c>
      <x:c r="J46" s="47" t="str">
        <x:v>Pendiente</x:v>
      </x:c>
      <x:c r="K46" s="47" t="str">
        <x:v>Pendiente</x:v>
      </x:c>
      <x:c r="L46" s="47" t="str">
        <x:v>Pendiente</x:v>
      </x:c>
      <x:c r="M46" s="48"/>
      <x:c r="N46" s="48"/>
      <x:c r="O46" s="49" t="str">
        <x:f>IF(OR(M46="",N46="",M46=0),"",(M46-N46)/M46)</x:f>
      </x:c>
      <x:c r="P46" s="47" t="str"/>
      <x:c r="Q46" s="50" t="str">
        <x:v>Pendiente</x:v>
      </x:c>
    </x:row>
    <x:row r="47">
      <x:c r="A47" s="46" t="str">
        <x:v>P1</x:v>
      </x:c>
      <x:c r="B47" s="47" t="str">
        <x:v>Importar producto 43 desde Woo</x:v>
      </x:c>
      <x:c r="C47" s="47" t="str"/>
      <x:c r="D47" s="47" t="str">
        <x:v>No</x:v>
      </x:c>
      <x:c r="E47" s="47" t="str">
        <x:v>Pendiente</x:v>
      </x:c>
      <x:c r="F47" s="47" t="str">
        <x:v>Pendiente</x:v>
      </x:c>
      <x:c r="G47" s="47" t="str">
        <x:v>Pendiente</x:v>
      </x:c>
      <x:c r="H47" s="47" t="str">
        <x:v>Pendiente</x:v>
      </x:c>
      <x:c r="I47" s="47" t="str">
        <x:v>Pendiente</x:v>
      </x:c>
      <x:c r="J47" s="47" t="str">
        <x:v>Pendiente</x:v>
      </x:c>
      <x:c r="K47" s="47" t="str">
        <x:v>Pendiente</x:v>
      </x:c>
      <x:c r="L47" s="47" t="str">
        <x:v>Pendiente</x:v>
      </x:c>
      <x:c r="M47" s="48"/>
      <x:c r="N47" s="48"/>
      <x:c r="O47" s="49" t="str">
        <x:f>IF(OR(M47="",N47="",M47=0),"",(M47-N47)/M47)</x:f>
      </x:c>
      <x:c r="P47" s="47" t="str"/>
      <x:c r="Q47" s="50" t="str">
        <x:v>Pendiente</x:v>
      </x:c>
    </x:row>
    <x:row r="48">
      <x:c r="A48" s="46" t="str">
        <x:v>P1</x:v>
      </x:c>
      <x:c r="B48" s="47" t="str">
        <x:v>Importar producto 44 desde Woo</x:v>
      </x:c>
      <x:c r="C48" s="47" t="str"/>
      <x:c r="D48" s="47" t="str">
        <x:v>No</x:v>
      </x:c>
      <x:c r="E48" s="47" t="str">
        <x:v>Pendiente</x:v>
      </x:c>
      <x:c r="F48" s="47" t="str">
        <x:v>Pendiente</x:v>
      </x:c>
      <x:c r="G48" s="47" t="str">
        <x:v>Pendiente</x:v>
      </x:c>
      <x:c r="H48" s="47" t="str">
        <x:v>Pendiente</x:v>
      </x:c>
      <x:c r="I48" s="47" t="str">
        <x:v>Pendiente</x:v>
      </x:c>
      <x:c r="J48" s="47" t="str">
        <x:v>Pendiente</x:v>
      </x:c>
      <x:c r="K48" s="47" t="str">
        <x:v>Pendiente</x:v>
      </x:c>
      <x:c r="L48" s="47" t="str">
        <x:v>Pendiente</x:v>
      </x:c>
      <x:c r="M48" s="48"/>
      <x:c r="N48" s="48"/>
      <x:c r="O48" s="49" t="str">
        <x:f>IF(OR(M48="",N48="",M48=0),"",(M48-N48)/M48)</x:f>
      </x:c>
      <x:c r="P48" s="47" t="str"/>
      <x:c r="Q48" s="50" t="str">
        <x:v>Pendiente</x:v>
      </x:c>
    </x:row>
    <x:row r="49">
      <x:c r="A49" s="51" t="str">
        <x:v>P1</x:v>
      </x:c>
      <x:c r="B49" s="52" t="str">
        <x:v>Importar producto 45 desde Woo</x:v>
      </x:c>
      <x:c r="C49" s="52" t="str"/>
      <x:c r="D49" s="52" t="str">
        <x:v>No</x:v>
      </x:c>
      <x:c r="E49" s="52" t="str">
        <x:v>Pendiente</x:v>
      </x:c>
      <x:c r="F49" s="52" t="str">
        <x:v>Pendiente</x:v>
      </x:c>
      <x:c r="G49" s="52" t="str">
        <x:v>Pendiente</x:v>
      </x:c>
      <x:c r="H49" s="52" t="str">
        <x:v>Pendiente</x:v>
      </x:c>
      <x:c r="I49" s="52" t="str">
        <x:v>Pendiente</x:v>
      </x:c>
      <x:c r="J49" s="52" t="str">
        <x:v>Pendiente</x:v>
      </x:c>
      <x:c r="K49" s="52" t="str">
        <x:v>Pendiente</x:v>
      </x:c>
      <x:c r="L49" s="52" t="str">
        <x:v>Pendiente</x:v>
      </x:c>
      <x:c r="M49" s="53"/>
      <x:c r="N49" s="53"/>
      <x:c r="O49" s="54" t="str">
        <x:f>IF(OR(M49="",N49="",M49=0),"",(M49-N49)/M49)</x:f>
      </x:c>
      <x:c r="P49" s="52" t="str"/>
      <x:c r="Q49" s="55" t="str">
        <x:v>Pendiente</x:v>
      </x:c>
    </x:row>
  </x:sheetData>
  <x:mergeCells>
    <x:mergeCell ref="A1:Q1"/>
    <x:mergeCell ref="A2:Q2"/>
  </x:mergeCells>
  <x:dataValidations count="3">
    <x:dataValidation type="list" sqref="A5:A49">
      <x:formula1>"P0,P1,P2"</x:formula1>
    </x:dataValidation>
    <x:dataValidation type="list" sqref="D5:D49">
      <x:formula1>"Sí,No,A confirmar"</x:formula1>
    </x:dataValidation>
    <x:dataValidation type="list" sqref="Q5:Q49">
      <x:formula1>"Pendiente,En revisión,Aprobado,Bloqueado"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45" hidden="0" customWidth="1"/>
    <x:col min="3" max="3" width="55" hidden="0" customWidth="1"/>
    <x:col min="4" max="4" width="18" hidden="0" customWidth="1"/>
    <x:col min="5" max="5" width="14" hidden="0" customWidth="1"/>
    <x:col min="6" max="6" width="15" hidden="0" customWidth="1"/>
  </x:cols>
  <x:sheetData>
    <x:row r="1" ht="36" customHeight="1">
      <x:c r="A1" s="56" t="str">
        <x:v>Condiciones comerciales por aprobar</x:v>
      </x:c>
      <x:c r="B1" s="56"/>
      <x:c r="C1" s="56"/>
      <x:c r="D1" s="56"/>
      <x:c r="E1" s="56"/>
      <x:c r="F1" s="56"/>
    </x:row>
    <x:row r="3">
      <x:c r="A3" s="33" t="str">
        <x:v>Área</x:v>
      </x:c>
      <x:c r="B3" s="34" t="str">
        <x:v>Datos requeridos</x:v>
      </x:c>
      <x:c r="C3" s="34" t="str">
        <x:v>Texto aprobado</x:v>
      </x:c>
      <x:c r="D3" s="34" t="str">
        <x:v>Responsable</x:v>
      </x:c>
      <x:c r="E3" s="34" t="str">
        <x:v>Fecha</x:v>
      </x:c>
      <x:c r="F3" s="35" t="str">
        <x:v>Estado</x:v>
      </x:c>
    </x:row>
    <x:row r="4">
      <x:c r="A4" s="46"/>
      <x:c r="B4" s="47"/>
      <x:c r="C4" s="47"/>
      <x:c r="D4" s="47"/>
      <x:c r="E4" s="47"/>
      <x:c r="F4" s="50"/>
    </x:row>
    <x:row r="5">
      <x:c r="A5" s="46" t="str">
        <x:v>Envíos</x:v>
      </x:c>
      <x:c r="B5" s="47" t="str">
        <x:v>Origen, cobertura, empresas, costo, plazo y seguimiento</x:v>
      </x:c>
      <x:c r="C5" s="47" t="str"/>
      <x:c r="D5" s="47" t="str">
        <x:v>Sofi / May</x:v>
      </x:c>
      <x:c r="E5" s="60"/>
      <x:c r="F5" s="50" t="str">
        <x:v>Pendiente</x:v>
      </x:c>
    </x:row>
    <x:row r="6">
      <x:c r="A6" s="46" t="str">
        <x:v>Cambios</x:v>
      </x:c>
      <x:c r="B6" s="47" t="str">
        <x:v>Plazo, estado de la prenda, exclusiones y costo</x:v>
      </x:c>
      <x:c r="C6" s="47" t="str"/>
      <x:c r="D6" s="47" t="str">
        <x:v>Sofi / May</x:v>
      </x:c>
      <x:c r="E6" s="60"/>
      <x:c r="F6" s="50" t="str">
        <x:v>Pendiente</x:v>
      </x:c>
    </x:row>
    <x:row r="7">
      <x:c r="A7" s="51" t="str">
        <x:v>Guía de talles</x:v>
      </x:c>
      <x:c r="B7" s="52" t="str">
        <x:v>Medidas reales e instrucciones para medir</x:v>
      </x:c>
      <x:c r="C7" s="52" t="str"/>
      <x:c r="D7" s="52" t="str">
        <x:v>Sofi / May</x:v>
      </x:c>
      <x:c r="E7" s="61"/>
      <x:c r="F7" s="55" t="str">
        <x:v>Pendiente</x:v>
      </x:c>
    </x:row>
  </x:sheetData>
  <x:mergeCells>
    <x:mergeCell ref="A1:F1"/>
  </x:mergeCells>
  <x:dataValidations count="1">
    <x:dataValidation type="list" sqref="F5:F7">
      <x:formula1>"Pendiente,En revisión,Aprobado,Bloqueado"</x:formula1>
    </x:dataValidation>
  </x:dataValidations>
  <x:pageMargins left="0.7" right="0.7" top="0.75" bottom="0.75" header="0.3" footer="0.3"/>
</x:worksheet>
</file>